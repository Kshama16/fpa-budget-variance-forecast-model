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Budget" sheetId="3" state="visible" r:id="rId3"/>
    <sheet name="Actuals" sheetId="4" state="visible" r:id="rId4"/>
    <sheet name="BvA" sheetId="5" state="visible" r:id="rId5"/>
    <sheet name="Forecast" sheetId="6" state="visible" r:id="rId6"/>
    <sheet name="P&amp;L Summary" sheetId="7" state="visible" r:id="rId7"/>
    <sheet name="Mgmt Report" sheetId="8" state="visible" r:id="rId8"/>
    <sheet name="Checks" sheetId="9" state="visible" r:id="rId9"/>
  </sheets>
  <definedNames>
    <definedName name="CurMonth">Inputs!$B$4</definedName>
    <definedName name="ThrPct">Inputs!$B$5</definedName>
    <definedName name="ThrAmt">Inputs!$B$6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0.0%"/>
    <numFmt numFmtId="165" formatCode="&quot;Jan&quot;"/>
    <numFmt numFmtId="166" formatCode="&quot;Feb&quot;"/>
    <numFmt numFmtId="167" formatCode="&quot;Mar&quot;"/>
    <numFmt numFmtId="168" formatCode="&quot;Apr&quot;"/>
    <numFmt numFmtId="169" formatCode="&quot;May&quot;"/>
    <numFmt numFmtId="170" formatCode="&quot;Jun&quot;"/>
    <numFmt numFmtId="171" formatCode="&quot;Jul&quot;"/>
    <numFmt numFmtId="172" formatCode="&quot;Aug&quot;"/>
    <numFmt numFmtId="173" formatCode="&quot;Sep&quot;"/>
    <numFmt numFmtId="174" formatCode="&quot;Oct&quot;"/>
    <numFmt numFmtId="175" formatCode="&quot;Nov&quot;"/>
    <numFmt numFmtId="176" formatCode="&quot;Dec&quot;"/>
    <numFmt numFmtId="177" formatCode="#,##0.0;(#,##0.0);&quot;-&quot;"/>
    <numFmt numFmtId="178" formatCode="0.0%;(0.0%);&quot;-&quot;"/>
    <numFmt numFmtId="179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</font>
    <font>
      <b val="1"/>
    </font>
    <font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center" vertical="center" wrapText="1"/>
    </xf>
    <xf numFmtId="167" fontId="5" fillId="2" borderId="0" applyAlignment="1" pivotButton="0" quotePrefix="0" xfId="0">
      <alignment horizontal="center" vertical="center" wrapText="1"/>
    </xf>
    <xf numFmtId="168" fontId="5" fillId="2" borderId="0" applyAlignment="1" pivotButton="0" quotePrefix="0" xfId="0">
      <alignment horizontal="center" vertical="center" wrapText="1"/>
    </xf>
    <xf numFmtId="169" fontId="5" fillId="2" borderId="0" applyAlignment="1" pivotButton="0" quotePrefix="0" xfId="0">
      <alignment horizontal="center" vertical="center" wrapText="1"/>
    </xf>
    <xf numFmtId="170" fontId="5" fillId="2" borderId="0" applyAlignment="1" pivotButton="0" quotePrefix="0" xfId="0">
      <alignment horizontal="center" vertical="center" wrapText="1"/>
    </xf>
    <xf numFmtId="171" fontId="5" fillId="2" borderId="0" applyAlignment="1" pivotButton="0" quotePrefix="0" xfId="0">
      <alignment horizontal="center" vertical="center" wrapText="1"/>
    </xf>
    <xf numFmtId="172" fontId="5" fillId="2" borderId="0" applyAlignment="1" pivotButton="0" quotePrefix="0" xfId="0">
      <alignment horizontal="center" vertical="center" wrapText="1"/>
    </xf>
    <xf numFmtId="173" fontId="5" fillId="2" borderId="0" applyAlignment="1" pivotButton="0" quotePrefix="0" xfId="0">
      <alignment horizontal="center" vertical="center" wrapText="1"/>
    </xf>
    <xf numFmtId="174" fontId="5" fillId="2" borderId="0" applyAlignment="1" pivotButton="0" quotePrefix="0" xfId="0">
      <alignment horizontal="center" vertical="center" wrapText="1"/>
    </xf>
    <xf numFmtId="175" fontId="5" fillId="2" borderId="0" applyAlignment="1" pivotButton="0" quotePrefix="0" xfId="0">
      <alignment horizontal="center" vertical="center" wrapText="1"/>
    </xf>
    <xf numFmtId="176" fontId="5" fillId="2" borderId="0" applyAlignment="1" pivotButton="0" quotePrefix="0" xfId="0">
      <alignment horizontal="center" vertical="center" wrapText="1"/>
    </xf>
    <xf numFmtId="177" fontId="4" fillId="0" borderId="0" pivotButton="0" quotePrefix="0" xfId="0"/>
    <xf numFmtId="177" fontId="3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0" fontId="4" fillId="0" borderId="0" pivotButton="0" quotePrefix="0" xfId="0"/>
    <xf numFmtId="179" fontId="0" fillId="0" borderId="0" pivotButton="0" quotePrefix="0" xfId="0"/>
    <xf numFmtId="0" fontId="3" fillId="0" borderId="1" pivotButton="0" quotePrefix="0" xfId="0"/>
    <xf numFmtId="177" fontId="3" fillId="0" borderId="1" pivotButton="0" quotePrefix="0" xfId="0"/>
    <xf numFmtId="178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Northwind Supply Co. - FY2026 Budget vs. Actual &amp; Rolling Forecast</t>
        </is>
      </c>
    </row>
    <row r="2">
      <c r="A2" s="2" t="inlineStr">
        <is>
          <t>Illustrative FP&amp;A model. All figures in $ thousands. Data is fictional.</t>
        </is>
      </c>
    </row>
    <row r="4">
      <c r="A4" s="3" t="inlineStr">
        <is>
          <t>Purpose</t>
        </is>
      </c>
      <c r="B4" s="4" t="inlineStr">
        <is>
          <t>Monthly and YTD budget-to-actual reporting, variance flags, a rolling 9+3 forecast, and a management P&amp;L.</t>
        </is>
      </c>
    </row>
    <row r="5">
      <c r="A5" s="3" t="inlineStr">
        <is>
          <t>How to use</t>
        </is>
      </c>
      <c r="B5" s="4" t="inlineStr">
        <is>
          <t>Close a month by entering actuals on the Actuals sheet and setting the closed month on Inputs. Everything else recalculates.</t>
        </is>
      </c>
    </row>
    <row r="6">
      <c r="A6" s="3" t="inlineStr">
        <is>
          <t>Conventions</t>
        </is>
      </c>
      <c r="B6" s="4" t="inlineStr">
        <is>
          <t>Blue = hard-coded input; black = formula. Variances are shown as favorable (+) / unfavorable (-) for both revenue and costs.</t>
        </is>
      </c>
    </row>
    <row r="7">
      <c r="A7" s="3" t="inlineStr">
        <is>
          <t>Inputs</t>
        </is>
      </c>
      <c r="B7" s="4" t="inlineStr">
        <is>
          <t>Closed month, variance flag thresholds (% and $).</t>
        </is>
      </c>
    </row>
    <row r="8">
      <c r="A8" s="3" t="inlineStr">
        <is>
          <t>Budget / Actuals</t>
        </is>
      </c>
      <c r="B8" s="4" t="inlineStr">
        <is>
          <t>21 line items x 12 months by department and category (Revenue, COGS, Opex).</t>
        </is>
      </c>
    </row>
    <row r="9">
      <c r="A9" s="3" t="inlineStr">
        <is>
          <t>BvA</t>
        </is>
      </c>
      <c r="B9" s="4" t="inlineStr">
        <is>
          <t>Current month and YTD budget vs. actual by line, with variance % and automatic flags.</t>
        </is>
      </c>
    </row>
    <row r="10">
      <c r="A10" s="3" t="inlineStr">
        <is>
          <t>Forecast</t>
        </is>
      </c>
      <c r="B10" s="4" t="inlineStr">
        <is>
          <t>Closed months = actuals; open months forecast by line method: Attainment (budget x YTD actual/budget), Run-rate (avg of last 3 closed months) or Budget.</t>
        </is>
      </c>
    </row>
    <row r="11">
      <c r="A11" s="3" t="inlineStr">
        <is>
          <t>P&amp;L Summary</t>
        </is>
      </c>
      <c r="B11" s="4" t="inlineStr">
        <is>
          <t>Revenue to EBITDA: YTD budget vs. actual and FY budget vs. forecast, with margins.</t>
        </is>
      </c>
    </row>
    <row r="12">
      <c r="A12" s="3" t="inlineStr">
        <is>
          <t>Mgmt Report</t>
        </is>
      </c>
      <c r="B12" s="4" t="inlineStr">
        <is>
          <t>Key metrics and variance commentary for leadership.</t>
        </is>
      </c>
    </row>
    <row r="13">
      <c r="A13" s="3" t="inlineStr">
        <is>
          <t>Checks</t>
        </is>
      </c>
      <c r="B13" s="4" t="inlineStr">
        <is>
          <t>Integrity checks; all must show TRUE.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Inputs</t>
        </is>
      </c>
    </row>
    <row r="2">
      <c r="A2" s="2" t="inlineStr">
        <is>
          <t>Change these to close a new month or tighten variance flags.</t>
        </is>
      </c>
    </row>
    <row r="4">
      <c r="A4" t="inlineStr">
        <is>
          <t>Last closed month (1-12)</t>
        </is>
      </c>
      <c r="B4" s="5" t="n">
        <v>9</v>
      </c>
    </row>
    <row r="5">
      <c r="A5" t="inlineStr">
        <is>
          <t>Variance flag threshold, %</t>
        </is>
      </c>
      <c r="B5" s="6" t="n">
        <v>0.05</v>
      </c>
    </row>
    <row r="6">
      <c r="A6" t="inlineStr">
        <is>
          <t>Variance flag threshold, $000s</t>
        </is>
      </c>
      <c r="B6" s="7" t="n">
        <v>25</v>
      </c>
    </row>
    <row r="8">
      <c r="A8" t="inlineStr">
        <is>
          <t>Closed month name</t>
        </is>
      </c>
      <c r="B8">
        <f>INDEX({"Jan","Feb","Mar","Apr","May","Jun","Jul","Aug","Sep","Oct","Nov","Dec"},CurMonth)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Northwind Supply Co. - FY2026 Budget ($000s)</t>
        </is>
      </c>
    </row>
    <row r="2">
      <c r="A2" s="2" t="inlineStr">
        <is>
          <t>Approved FY budget by month.</t>
        </is>
      </c>
    </row>
    <row r="3">
      <c r="A3" s="8" t="inlineStr">
        <is>
          <t>ID</t>
        </is>
      </c>
      <c r="B3" s="8" t="inlineStr">
        <is>
          <t>Line item</t>
        </is>
      </c>
      <c r="C3" s="8" t="inlineStr">
        <is>
          <t>Department</t>
        </is>
      </c>
      <c r="D3" s="8" t="inlineStr">
        <is>
          <t>Category</t>
        </is>
      </c>
      <c r="E3" s="9" t="n">
        <v>1</v>
      </c>
      <c r="F3" s="10" t="n">
        <v>2</v>
      </c>
      <c r="G3" s="11" t="n">
        <v>3</v>
      </c>
      <c r="H3" s="12" t="n">
        <v>4</v>
      </c>
      <c r="I3" s="13" t="n">
        <v>5</v>
      </c>
      <c r="J3" s="14" t="n">
        <v>6</v>
      </c>
      <c r="K3" s="15" t="n">
        <v>7</v>
      </c>
      <c r="L3" s="16" t="n">
        <v>8</v>
      </c>
      <c r="M3" s="17" t="n">
        <v>9</v>
      </c>
      <c r="N3" s="18" t="n">
        <v>10</v>
      </c>
      <c r="O3" s="19" t="n">
        <v>11</v>
      </c>
      <c r="P3" s="20" t="n">
        <v>12</v>
      </c>
      <c r="Q3" s="8" t="inlineStr">
        <is>
          <t>FY Total</t>
        </is>
      </c>
    </row>
    <row r="4">
      <c r="A4" t="inlineStr">
        <is>
          <t>REV-A</t>
        </is>
      </c>
      <c r="B4" t="inlineStr">
        <is>
          <t>Industrial Supplies</t>
        </is>
      </c>
      <c r="C4" t="inlineStr">
        <is>
          <t>Sales</t>
        </is>
      </c>
      <c r="D4" t="inlineStr">
        <is>
          <t>Revenue</t>
        </is>
      </c>
      <c r="E4" s="21" t="n">
        <v>1800</v>
      </c>
      <c r="F4" s="21" t="n">
        <v>1800</v>
      </c>
      <c r="G4" s="21" t="n">
        <v>2040</v>
      </c>
      <c r="H4" s="21" t="n">
        <v>2040</v>
      </c>
      <c r="I4" s="21" t="n">
        <v>2160</v>
      </c>
      <c r="J4" s="21" t="n">
        <v>2160</v>
      </c>
      <c r="K4" s="21" t="n">
        <v>1920</v>
      </c>
      <c r="L4" s="21" t="n">
        <v>1920</v>
      </c>
      <c r="M4" s="21" t="n">
        <v>2040</v>
      </c>
      <c r="N4" s="21" t="n">
        <v>2160</v>
      </c>
      <c r="O4" s="21" t="n">
        <v>2040</v>
      </c>
      <c r="P4" s="21" t="n">
        <v>1920</v>
      </c>
      <c r="Q4" s="22">
        <f>SUM(E4:P4)</f>
        <v/>
      </c>
    </row>
    <row r="5">
      <c r="A5" t="inlineStr">
        <is>
          <t>REV-B</t>
        </is>
      </c>
      <c r="B5" t="inlineStr">
        <is>
          <t>Safety Equipment</t>
        </is>
      </c>
      <c r="C5" t="inlineStr">
        <is>
          <t>Sales</t>
        </is>
      </c>
      <c r="D5" t="inlineStr">
        <is>
          <t>Revenue</t>
        </is>
      </c>
      <c r="E5" s="21" t="n">
        <v>1050</v>
      </c>
      <c r="F5" s="21" t="n">
        <v>1050</v>
      </c>
      <c r="G5" s="21" t="n">
        <v>1190</v>
      </c>
      <c r="H5" s="21" t="n">
        <v>1190</v>
      </c>
      <c r="I5" s="21" t="n">
        <v>1260</v>
      </c>
      <c r="J5" s="21" t="n">
        <v>1260</v>
      </c>
      <c r="K5" s="21" t="n">
        <v>1120</v>
      </c>
      <c r="L5" s="21" t="n">
        <v>1120</v>
      </c>
      <c r="M5" s="21" t="n">
        <v>1190</v>
      </c>
      <c r="N5" s="21" t="n">
        <v>1260</v>
      </c>
      <c r="O5" s="21" t="n">
        <v>1190</v>
      </c>
      <c r="P5" s="21" t="n">
        <v>1120</v>
      </c>
      <c r="Q5" s="22">
        <f>SUM(E5:P5)</f>
        <v/>
      </c>
    </row>
    <row r="6">
      <c r="A6" t="inlineStr">
        <is>
          <t>REV-C</t>
        </is>
      </c>
      <c r="B6" t="inlineStr">
        <is>
          <t>Services &amp; Installation</t>
        </is>
      </c>
      <c r="C6" t="inlineStr">
        <is>
          <t>Sales</t>
        </is>
      </c>
      <c r="D6" t="inlineStr">
        <is>
          <t>Revenue</t>
        </is>
      </c>
      <c r="E6" s="21" t="n">
        <v>750</v>
      </c>
      <c r="F6" s="21" t="n">
        <v>750</v>
      </c>
      <c r="G6" s="21" t="n">
        <v>850</v>
      </c>
      <c r="H6" s="21" t="n">
        <v>850</v>
      </c>
      <c r="I6" s="21" t="n">
        <v>900</v>
      </c>
      <c r="J6" s="21" t="n">
        <v>900</v>
      </c>
      <c r="K6" s="21" t="n">
        <v>800</v>
      </c>
      <c r="L6" s="21" t="n">
        <v>800</v>
      </c>
      <c r="M6" s="21" t="n">
        <v>850</v>
      </c>
      <c r="N6" s="21" t="n">
        <v>900</v>
      </c>
      <c r="O6" s="21" t="n">
        <v>850</v>
      </c>
      <c r="P6" s="21" t="n">
        <v>800</v>
      </c>
      <c r="Q6" s="22">
        <f>SUM(E6:P6)</f>
        <v/>
      </c>
    </row>
    <row r="7">
      <c r="A7" t="inlineStr">
        <is>
          <t>COGS-A</t>
        </is>
      </c>
      <c r="B7" t="inlineStr">
        <is>
          <t>Cost of Goods - Industrial Supplies</t>
        </is>
      </c>
      <c r="C7" t="inlineStr">
        <is>
          <t>Operations</t>
        </is>
      </c>
      <c r="D7" t="inlineStr">
        <is>
          <t>COGS</t>
        </is>
      </c>
      <c r="E7" s="21" t="n">
        <v>1188</v>
      </c>
      <c r="F7" s="21" t="n">
        <v>1188</v>
      </c>
      <c r="G7" s="21" t="n">
        <v>1346.4</v>
      </c>
      <c r="H7" s="21" t="n">
        <v>1346.4</v>
      </c>
      <c r="I7" s="21" t="n">
        <v>1425.6</v>
      </c>
      <c r="J7" s="21" t="n">
        <v>1425.6</v>
      </c>
      <c r="K7" s="21" t="n">
        <v>1267.2</v>
      </c>
      <c r="L7" s="21" t="n">
        <v>1267.2</v>
      </c>
      <c r="M7" s="21" t="n">
        <v>1346.4</v>
      </c>
      <c r="N7" s="21" t="n">
        <v>1425.6</v>
      </c>
      <c r="O7" s="21" t="n">
        <v>1346.4</v>
      </c>
      <c r="P7" s="21" t="n">
        <v>1267.2</v>
      </c>
      <c r="Q7" s="22">
        <f>SUM(E7:P7)</f>
        <v/>
      </c>
    </row>
    <row r="8">
      <c r="A8" t="inlineStr">
        <is>
          <t>COGS-B</t>
        </is>
      </c>
      <c r="B8" t="inlineStr">
        <is>
          <t>Cost of Goods - Safety Equipment</t>
        </is>
      </c>
      <c r="C8" t="inlineStr">
        <is>
          <t>Operations</t>
        </is>
      </c>
      <c r="D8" t="inlineStr">
        <is>
          <t>COGS</t>
        </is>
      </c>
      <c r="E8" s="21" t="n">
        <v>630</v>
      </c>
      <c r="F8" s="21" t="n">
        <v>630</v>
      </c>
      <c r="G8" s="21" t="n">
        <v>714</v>
      </c>
      <c r="H8" s="21" t="n">
        <v>714</v>
      </c>
      <c r="I8" s="21" t="n">
        <v>756</v>
      </c>
      <c r="J8" s="21" t="n">
        <v>756</v>
      </c>
      <c r="K8" s="21" t="n">
        <v>672</v>
      </c>
      <c r="L8" s="21" t="n">
        <v>672</v>
      </c>
      <c r="M8" s="21" t="n">
        <v>714</v>
      </c>
      <c r="N8" s="21" t="n">
        <v>756</v>
      </c>
      <c r="O8" s="21" t="n">
        <v>714</v>
      </c>
      <c r="P8" s="21" t="n">
        <v>672</v>
      </c>
      <c r="Q8" s="22">
        <f>SUM(E8:P8)</f>
        <v/>
      </c>
    </row>
    <row r="9">
      <c r="A9" t="inlineStr">
        <is>
          <t>COGS-C</t>
        </is>
      </c>
      <c r="B9" t="inlineStr">
        <is>
          <t>Cost of Services &amp; Installation</t>
        </is>
      </c>
      <c r="C9" t="inlineStr">
        <is>
          <t>Operations</t>
        </is>
      </c>
      <c r="D9" t="inlineStr">
        <is>
          <t>COGS</t>
        </is>
      </c>
      <c r="E9" s="21" t="n">
        <v>337.5</v>
      </c>
      <c r="F9" s="21" t="n">
        <v>337.5</v>
      </c>
      <c r="G9" s="21" t="n">
        <v>382.5</v>
      </c>
      <c r="H9" s="21" t="n">
        <v>382.5</v>
      </c>
      <c r="I9" s="21" t="n">
        <v>405</v>
      </c>
      <c r="J9" s="21" t="n">
        <v>405</v>
      </c>
      <c r="K9" s="21" t="n">
        <v>360</v>
      </c>
      <c r="L9" s="21" t="n">
        <v>360</v>
      </c>
      <c r="M9" s="21" t="n">
        <v>382.5</v>
      </c>
      <c r="N9" s="21" t="n">
        <v>405</v>
      </c>
      <c r="O9" s="21" t="n">
        <v>382.5</v>
      </c>
      <c r="P9" s="21" t="n">
        <v>360</v>
      </c>
      <c r="Q9" s="22">
        <f>SUM(E9:P9)</f>
        <v/>
      </c>
    </row>
    <row r="10">
      <c r="A10" t="inlineStr">
        <is>
          <t>COGS-FRT</t>
        </is>
      </c>
      <c r="B10" t="inlineStr">
        <is>
          <t>Freight &amp; Logistics</t>
        </is>
      </c>
      <c r="C10" t="inlineStr">
        <is>
          <t>Operations</t>
        </is>
      </c>
      <c r="D10" t="inlineStr">
        <is>
          <t>COGS</t>
        </is>
      </c>
      <c r="E10" s="21" t="n">
        <v>99.8</v>
      </c>
      <c r="F10" s="21" t="n">
        <v>99.8</v>
      </c>
      <c r="G10" s="21" t="n">
        <v>113.1</v>
      </c>
      <c r="H10" s="21" t="n">
        <v>113.1</v>
      </c>
      <c r="I10" s="21" t="n">
        <v>119.7</v>
      </c>
      <c r="J10" s="21" t="n">
        <v>119.7</v>
      </c>
      <c r="K10" s="21" t="n">
        <v>106.4</v>
      </c>
      <c r="L10" s="21" t="n">
        <v>106.4</v>
      </c>
      <c r="M10" s="21" t="n">
        <v>113.1</v>
      </c>
      <c r="N10" s="21" t="n">
        <v>119.7</v>
      </c>
      <c r="O10" s="21" t="n">
        <v>113.1</v>
      </c>
      <c r="P10" s="21" t="n">
        <v>106.4</v>
      </c>
      <c r="Q10" s="22">
        <f>SUM(E10:P10)</f>
        <v/>
      </c>
    </row>
    <row r="11">
      <c r="A11" t="inlineStr">
        <is>
          <t>SAL-SALES</t>
        </is>
      </c>
      <c r="B11" t="inlineStr">
        <is>
          <t>Salaries &amp; Benefits</t>
        </is>
      </c>
      <c r="C11" t="inlineStr">
        <is>
          <t>Sales</t>
        </is>
      </c>
      <c r="D11" t="inlineStr">
        <is>
          <t>Opex</t>
        </is>
      </c>
      <c r="E11" s="21" t="n">
        <v>200</v>
      </c>
      <c r="F11" s="21" t="n">
        <v>200</v>
      </c>
      <c r="G11" s="21" t="n">
        <v>200</v>
      </c>
      <c r="H11" s="21" t="n">
        <v>200</v>
      </c>
      <c r="I11" s="21" t="n">
        <v>200</v>
      </c>
      <c r="J11" s="21" t="n">
        <v>200</v>
      </c>
      <c r="K11" s="21" t="n">
        <v>200</v>
      </c>
      <c r="L11" s="21" t="n">
        <v>200</v>
      </c>
      <c r="M11" s="21" t="n">
        <v>200</v>
      </c>
      <c r="N11" s="21" t="n">
        <v>200</v>
      </c>
      <c r="O11" s="21" t="n">
        <v>200</v>
      </c>
      <c r="P11" s="21" t="n">
        <v>200</v>
      </c>
      <c r="Q11" s="22">
        <f>SUM(E11:P11)</f>
        <v/>
      </c>
    </row>
    <row r="12">
      <c r="A12" t="inlineStr">
        <is>
          <t>COMM-SALES</t>
        </is>
      </c>
      <c r="B12" t="inlineStr">
        <is>
          <t>Sales Commissions</t>
        </is>
      </c>
      <c r="C12" t="inlineStr">
        <is>
          <t>Sales</t>
        </is>
      </c>
      <c r="D12" t="inlineStr">
        <is>
          <t>Opex</t>
        </is>
      </c>
      <c r="E12" s="21" t="n">
        <v>108</v>
      </c>
      <c r="F12" s="21" t="n">
        <v>108</v>
      </c>
      <c r="G12" s="21" t="n">
        <v>122.4</v>
      </c>
      <c r="H12" s="21" t="n">
        <v>122.4</v>
      </c>
      <c r="I12" s="21" t="n">
        <v>129.6</v>
      </c>
      <c r="J12" s="21" t="n">
        <v>129.6</v>
      </c>
      <c r="K12" s="21" t="n">
        <v>115.2</v>
      </c>
      <c r="L12" s="21" t="n">
        <v>115.2</v>
      </c>
      <c r="M12" s="21" t="n">
        <v>122.4</v>
      </c>
      <c r="N12" s="21" t="n">
        <v>129.6</v>
      </c>
      <c r="O12" s="21" t="n">
        <v>122.4</v>
      </c>
      <c r="P12" s="21" t="n">
        <v>115.2</v>
      </c>
      <c r="Q12" s="22">
        <f>SUM(E12:P12)</f>
        <v/>
      </c>
    </row>
    <row r="13">
      <c r="A13" t="inlineStr">
        <is>
          <t>TE-SALES</t>
        </is>
      </c>
      <c r="B13" t="inlineStr">
        <is>
          <t>Travel &amp; Entertainment</t>
        </is>
      </c>
      <c r="C13" t="inlineStr">
        <is>
          <t>Sales</t>
        </is>
      </c>
      <c r="D13" t="inlineStr">
        <is>
          <t>Opex</t>
        </is>
      </c>
      <c r="E13" s="21" t="n">
        <v>30</v>
      </c>
      <c r="F13" s="21" t="n">
        <v>30</v>
      </c>
      <c r="G13" s="21" t="n">
        <v>30</v>
      </c>
      <c r="H13" s="21" t="n">
        <v>30</v>
      </c>
      <c r="I13" s="21" t="n">
        <v>30</v>
      </c>
      <c r="J13" s="21" t="n">
        <v>30</v>
      </c>
      <c r="K13" s="21" t="n">
        <v>30</v>
      </c>
      <c r="L13" s="21" t="n">
        <v>30</v>
      </c>
      <c r="M13" s="21" t="n">
        <v>30</v>
      </c>
      <c r="N13" s="21" t="n">
        <v>30</v>
      </c>
      <c r="O13" s="21" t="n">
        <v>30</v>
      </c>
      <c r="P13" s="21" t="n">
        <v>30</v>
      </c>
      <c r="Q13" s="22">
        <f>SUM(E13:P13)</f>
        <v/>
      </c>
    </row>
    <row r="14">
      <c r="A14" t="inlineStr">
        <is>
          <t>SAL-MKT</t>
        </is>
      </c>
      <c r="B14" t="inlineStr">
        <is>
          <t>Salaries &amp; Benefits</t>
        </is>
      </c>
      <c r="C14" t="inlineStr">
        <is>
          <t>Marketing</t>
        </is>
      </c>
      <c r="D14" t="inlineStr">
        <is>
          <t>Opex</t>
        </is>
      </c>
      <c r="E14" s="21" t="n">
        <v>80</v>
      </c>
      <c r="F14" s="21" t="n">
        <v>80</v>
      </c>
      <c r="G14" s="21" t="n">
        <v>80</v>
      </c>
      <c r="H14" s="21" t="n">
        <v>80</v>
      </c>
      <c r="I14" s="21" t="n">
        <v>80</v>
      </c>
      <c r="J14" s="21" t="n">
        <v>80</v>
      </c>
      <c r="K14" s="21" t="n">
        <v>80</v>
      </c>
      <c r="L14" s="21" t="n">
        <v>80</v>
      </c>
      <c r="M14" s="21" t="n">
        <v>80</v>
      </c>
      <c r="N14" s="21" t="n">
        <v>80</v>
      </c>
      <c r="O14" s="21" t="n">
        <v>80</v>
      </c>
      <c r="P14" s="21" t="n">
        <v>80</v>
      </c>
      <c r="Q14" s="22">
        <f>SUM(E14:P14)</f>
        <v/>
      </c>
    </row>
    <row r="15">
      <c r="A15" t="inlineStr">
        <is>
          <t>ADS-MKT</t>
        </is>
      </c>
      <c r="B15" t="inlineStr">
        <is>
          <t>Digital Advertising</t>
        </is>
      </c>
      <c r="C15" t="inlineStr">
        <is>
          <t>Marketing</t>
        </is>
      </c>
      <c r="D15" t="inlineStr">
        <is>
          <t>Opex</t>
        </is>
      </c>
      <c r="E15" s="21" t="n">
        <v>60</v>
      </c>
      <c r="F15" s="21" t="n">
        <v>60</v>
      </c>
      <c r="G15" s="21" t="n">
        <v>60</v>
      </c>
      <c r="H15" s="21" t="n">
        <v>60</v>
      </c>
      <c r="I15" s="21" t="n">
        <v>60</v>
      </c>
      <c r="J15" s="21" t="n">
        <v>60</v>
      </c>
      <c r="K15" s="21" t="n">
        <v>60</v>
      </c>
      <c r="L15" s="21" t="n">
        <v>60</v>
      </c>
      <c r="M15" s="21" t="n">
        <v>60</v>
      </c>
      <c r="N15" s="21" t="n">
        <v>60</v>
      </c>
      <c r="O15" s="21" t="n">
        <v>60</v>
      </c>
      <c r="P15" s="21" t="n">
        <v>60</v>
      </c>
      <c r="Q15" s="22">
        <f>SUM(E15:P15)</f>
        <v/>
      </c>
    </row>
    <row r="16">
      <c r="A16" t="inlineStr">
        <is>
          <t>EVT-MKT</t>
        </is>
      </c>
      <c r="B16" t="inlineStr">
        <is>
          <t>Trade Shows &amp; Events</t>
        </is>
      </c>
      <c r="C16" t="inlineStr">
        <is>
          <t>Marketing</t>
        </is>
      </c>
      <c r="D16" t="inlineStr">
        <is>
          <t>Opex</t>
        </is>
      </c>
      <c r="E16" s="21" t="n">
        <v>24</v>
      </c>
      <c r="F16" s="21" t="n">
        <v>24</v>
      </c>
      <c r="G16" s="21" t="n">
        <v>120</v>
      </c>
      <c r="H16" s="21" t="n">
        <v>24</v>
      </c>
      <c r="I16" s="21" t="n">
        <v>24</v>
      </c>
      <c r="J16" s="21" t="n">
        <v>24</v>
      </c>
      <c r="K16" s="21" t="n">
        <v>24</v>
      </c>
      <c r="L16" s="21" t="n">
        <v>24</v>
      </c>
      <c r="M16" s="21" t="n">
        <v>120</v>
      </c>
      <c r="N16" s="21" t="n">
        <v>24</v>
      </c>
      <c r="O16" s="21" t="n">
        <v>24</v>
      </c>
      <c r="P16" s="21" t="n">
        <v>24</v>
      </c>
      <c r="Q16" s="22">
        <f>SUM(E16:P16)</f>
        <v/>
      </c>
    </row>
    <row r="17">
      <c r="A17" t="inlineStr">
        <is>
          <t>SAL-OPS</t>
        </is>
      </c>
      <c r="B17" t="inlineStr">
        <is>
          <t>Salaries &amp; Benefits</t>
        </is>
      </c>
      <c r="C17" t="inlineStr">
        <is>
          <t>Operations</t>
        </is>
      </c>
      <c r="D17" t="inlineStr">
        <is>
          <t>Opex</t>
        </is>
      </c>
      <c r="E17" s="21" t="n">
        <v>250</v>
      </c>
      <c r="F17" s="21" t="n">
        <v>250</v>
      </c>
      <c r="G17" s="21" t="n">
        <v>250</v>
      </c>
      <c r="H17" s="21" t="n">
        <v>250</v>
      </c>
      <c r="I17" s="21" t="n">
        <v>250</v>
      </c>
      <c r="J17" s="21" t="n">
        <v>250</v>
      </c>
      <c r="K17" s="21" t="n">
        <v>250</v>
      </c>
      <c r="L17" s="21" t="n">
        <v>250</v>
      </c>
      <c r="M17" s="21" t="n">
        <v>250</v>
      </c>
      <c r="N17" s="21" t="n">
        <v>250</v>
      </c>
      <c r="O17" s="21" t="n">
        <v>250</v>
      </c>
      <c r="P17" s="21" t="n">
        <v>250</v>
      </c>
      <c r="Q17" s="22">
        <f>SUM(E17:P17)</f>
        <v/>
      </c>
    </row>
    <row r="18">
      <c r="A18" t="inlineStr">
        <is>
          <t>RENT-OPS</t>
        </is>
      </c>
      <c r="B18" t="inlineStr">
        <is>
          <t>Warehouse Rent</t>
        </is>
      </c>
      <c r="C18" t="inlineStr">
        <is>
          <t>Operations</t>
        </is>
      </c>
      <c r="D18" t="inlineStr">
        <is>
          <t>Opex</t>
        </is>
      </c>
      <c r="E18" s="21" t="n">
        <v>120</v>
      </c>
      <c r="F18" s="21" t="n">
        <v>120</v>
      </c>
      <c r="G18" s="21" t="n">
        <v>120</v>
      </c>
      <c r="H18" s="21" t="n">
        <v>120</v>
      </c>
      <c r="I18" s="21" t="n">
        <v>120</v>
      </c>
      <c r="J18" s="21" t="n">
        <v>120</v>
      </c>
      <c r="K18" s="21" t="n">
        <v>120</v>
      </c>
      <c r="L18" s="21" t="n">
        <v>120</v>
      </c>
      <c r="M18" s="21" t="n">
        <v>120</v>
      </c>
      <c r="N18" s="21" t="n">
        <v>120</v>
      </c>
      <c r="O18" s="21" t="n">
        <v>120</v>
      </c>
      <c r="P18" s="21" t="n">
        <v>120</v>
      </c>
      <c r="Q18" s="22">
        <f>SUM(E18:P18)</f>
        <v/>
      </c>
    </row>
    <row r="19">
      <c r="A19" t="inlineStr">
        <is>
          <t>MAINT-OPS</t>
        </is>
      </c>
      <c r="B19" t="inlineStr">
        <is>
          <t>Equipment Maintenance</t>
        </is>
      </c>
      <c r="C19" t="inlineStr">
        <is>
          <t>Operations</t>
        </is>
      </c>
      <c r="D19" t="inlineStr">
        <is>
          <t>Opex</t>
        </is>
      </c>
      <c r="E19" s="21" t="n">
        <v>50</v>
      </c>
      <c r="F19" s="21" t="n">
        <v>50</v>
      </c>
      <c r="G19" s="21" t="n">
        <v>50</v>
      </c>
      <c r="H19" s="21" t="n">
        <v>50</v>
      </c>
      <c r="I19" s="21" t="n">
        <v>50</v>
      </c>
      <c r="J19" s="21" t="n">
        <v>50</v>
      </c>
      <c r="K19" s="21" t="n">
        <v>50</v>
      </c>
      <c r="L19" s="21" t="n">
        <v>50</v>
      </c>
      <c r="M19" s="21" t="n">
        <v>50</v>
      </c>
      <c r="N19" s="21" t="n">
        <v>50</v>
      </c>
      <c r="O19" s="21" t="n">
        <v>50</v>
      </c>
      <c r="P19" s="21" t="n">
        <v>50</v>
      </c>
      <c r="Q19" s="22">
        <f>SUM(E19:P19)</f>
        <v/>
      </c>
    </row>
    <row r="20">
      <c r="A20" t="inlineStr">
        <is>
          <t>SAL-GA</t>
        </is>
      </c>
      <c r="B20" t="inlineStr">
        <is>
          <t>Salaries &amp; Benefits</t>
        </is>
      </c>
      <c r="C20" t="inlineStr">
        <is>
          <t>G&amp;A</t>
        </is>
      </c>
      <c r="D20" t="inlineStr">
        <is>
          <t>Opex</t>
        </is>
      </c>
      <c r="E20" s="21" t="n">
        <v>150</v>
      </c>
      <c r="F20" s="21" t="n">
        <v>150</v>
      </c>
      <c r="G20" s="21" t="n">
        <v>150</v>
      </c>
      <c r="H20" s="21" t="n">
        <v>150</v>
      </c>
      <c r="I20" s="21" t="n">
        <v>150</v>
      </c>
      <c r="J20" s="21" t="n">
        <v>150</v>
      </c>
      <c r="K20" s="21" t="n">
        <v>150</v>
      </c>
      <c r="L20" s="21" t="n">
        <v>150</v>
      </c>
      <c r="M20" s="21" t="n">
        <v>150</v>
      </c>
      <c r="N20" s="21" t="n">
        <v>150</v>
      </c>
      <c r="O20" s="21" t="n">
        <v>150</v>
      </c>
      <c r="P20" s="21" t="n">
        <v>150</v>
      </c>
      <c r="Q20" s="22">
        <f>SUM(E20:P20)</f>
        <v/>
      </c>
    </row>
    <row r="21">
      <c r="A21" t="inlineStr">
        <is>
          <t>PROF-GA</t>
        </is>
      </c>
      <c r="B21" t="inlineStr">
        <is>
          <t>Professional Fees</t>
        </is>
      </c>
      <c r="C21" t="inlineStr">
        <is>
          <t>G&amp;A</t>
        </is>
      </c>
      <c r="D21" t="inlineStr">
        <is>
          <t>Opex</t>
        </is>
      </c>
      <c r="E21" s="21" t="n">
        <v>40</v>
      </c>
      <c r="F21" s="21" t="n">
        <v>40</v>
      </c>
      <c r="G21" s="21" t="n">
        <v>40</v>
      </c>
      <c r="H21" s="21" t="n">
        <v>40</v>
      </c>
      <c r="I21" s="21" t="n">
        <v>40</v>
      </c>
      <c r="J21" s="21" t="n">
        <v>40</v>
      </c>
      <c r="K21" s="21" t="n">
        <v>40</v>
      </c>
      <c r="L21" s="21" t="n">
        <v>40</v>
      </c>
      <c r="M21" s="21" t="n">
        <v>40</v>
      </c>
      <c r="N21" s="21" t="n">
        <v>40</v>
      </c>
      <c r="O21" s="21" t="n">
        <v>40</v>
      </c>
      <c r="P21" s="21" t="n">
        <v>40</v>
      </c>
      <c r="Q21" s="22">
        <f>SUM(E21:P21)</f>
        <v/>
      </c>
    </row>
    <row r="22">
      <c r="A22" t="inlineStr">
        <is>
          <t>INS-GA</t>
        </is>
      </c>
      <c r="B22" t="inlineStr">
        <is>
          <t>Insurance</t>
        </is>
      </c>
      <c r="C22" t="inlineStr">
        <is>
          <t>G&amp;A</t>
        </is>
      </c>
      <c r="D22" t="inlineStr">
        <is>
          <t>Opex</t>
        </is>
      </c>
      <c r="E22" s="21" t="n">
        <v>30</v>
      </c>
      <c r="F22" s="21" t="n">
        <v>30</v>
      </c>
      <c r="G22" s="21" t="n">
        <v>30</v>
      </c>
      <c r="H22" s="21" t="n">
        <v>30</v>
      </c>
      <c r="I22" s="21" t="n">
        <v>30</v>
      </c>
      <c r="J22" s="21" t="n">
        <v>30</v>
      </c>
      <c r="K22" s="21" t="n">
        <v>30</v>
      </c>
      <c r="L22" s="21" t="n">
        <v>30</v>
      </c>
      <c r="M22" s="21" t="n">
        <v>30</v>
      </c>
      <c r="N22" s="21" t="n">
        <v>30</v>
      </c>
      <c r="O22" s="21" t="n">
        <v>30</v>
      </c>
      <c r="P22" s="21" t="n">
        <v>30</v>
      </c>
      <c r="Q22" s="22">
        <f>SUM(E22:P22)</f>
        <v/>
      </c>
    </row>
    <row r="23">
      <c r="A23" t="inlineStr">
        <is>
          <t>SAL-IT</t>
        </is>
      </c>
      <c r="B23" t="inlineStr">
        <is>
          <t>Salaries &amp; Benefits</t>
        </is>
      </c>
      <c r="C23" t="inlineStr">
        <is>
          <t>IT</t>
        </is>
      </c>
      <c r="D23" t="inlineStr">
        <is>
          <t>Opex</t>
        </is>
      </c>
      <c r="E23" s="21" t="n">
        <v>100</v>
      </c>
      <c r="F23" s="21" t="n">
        <v>100</v>
      </c>
      <c r="G23" s="21" t="n">
        <v>100</v>
      </c>
      <c r="H23" s="21" t="n">
        <v>100</v>
      </c>
      <c r="I23" s="21" t="n">
        <v>100</v>
      </c>
      <c r="J23" s="21" t="n">
        <v>100</v>
      </c>
      <c r="K23" s="21" t="n">
        <v>100</v>
      </c>
      <c r="L23" s="21" t="n">
        <v>100</v>
      </c>
      <c r="M23" s="21" t="n">
        <v>100</v>
      </c>
      <c r="N23" s="21" t="n">
        <v>100</v>
      </c>
      <c r="O23" s="21" t="n">
        <v>100</v>
      </c>
      <c r="P23" s="21" t="n">
        <v>100</v>
      </c>
      <c r="Q23" s="22">
        <f>SUM(E23:P23)</f>
        <v/>
      </c>
    </row>
    <row r="24">
      <c r="A24" t="inlineStr">
        <is>
          <t>SW-IT</t>
        </is>
      </c>
      <c r="B24" t="inlineStr">
        <is>
          <t>Software &amp; Subscriptions</t>
        </is>
      </c>
      <c r="C24" t="inlineStr">
        <is>
          <t>IT</t>
        </is>
      </c>
      <c r="D24" t="inlineStr">
        <is>
          <t>Opex</t>
        </is>
      </c>
      <c r="E24" s="21" t="n">
        <v>45</v>
      </c>
      <c r="F24" s="21" t="n">
        <v>45</v>
      </c>
      <c r="G24" s="21" t="n">
        <v>45</v>
      </c>
      <c r="H24" s="21" t="n">
        <v>45</v>
      </c>
      <c r="I24" s="21" t="n">
        <v>45</v>
      </c>
      <c r="J24" s="21" t="n">
        <v>45</v>
      </c>
      <c r="K24" s="21" t="n">
        <v>45</v>
      </c>
      <c r="L24" s="21" t="n">
        <v>45</v>
      </c>
      <c r="M24" s="21" t="n">
        <v>45</v>
      </c>
      <c r="N24" s="21" t="n">
        <v>45</v>
      </c>
      <c r="O24" s="21" t="n">
        <v>45</v>
      </c>
      <c r="P24" s="21" t="n">
        <v>45</v>
      </c>
      <c r="Q24" s="22">
        <f>SUM(E24:P24)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Northwind Supply Co. - FY2026 Actuals ($000s)</t>
        </is>
      </c>
    </row>
    <row r="2">
      <c r="A2" s="2" t="inlineStr">
        <is>
          <t>Closed actuals from the general ledger; open months left blank.</t>
        </is>
      </c>
    </row>
    <row r="3">
      <c r="A3" s="8" t="inlineStr">
        <is>
          <t>ID</t>
        </is>
      </c>
      <c r="B3" s="8" t="inlineStr">
        <is>
          <t>Line item</t>
        </is>
      </c>
      <c r="C3" s="8" t="inlineStr">
        <is>
          <t>Department</t>
        </is>
      </c>
      <c r="D3" s="8" t="inlineStr">
        <is>
          <t>Category</t>
        </is>
      </c>
      <c r="E3" s="9" t="n">
        <v>1</v>
      </c>
      <c r="F3" s="10" t="n">
        <v>2</v>
      </c>
      <c r="G3" s="11" t="n">
        <v>3</v>
      </c>
      <c r="H3" s="12" t="n">
        <v>4</v>
      </c>
      <c r="I3" s="13" t="n">
        <v>5</v>
      </c>
      <c r="J3" s="14" t="n">
        <v>6</v>
      </c>
      <c r="K3" s="15" t="n">
        <v>7</v>
      </c>
      <c r="L3" s="16" t="n">
        <v>8</v>
      </c>
      <c r="M3" s="17" t="n">
        <v>9</v>
      </c>
      <c r="N3" s="18" t="n">
        <v>10</v>
      </c>
      <c r="O3" s="19" t="n">
        <v>11</v>
      </c>
      <c r="P3" s="20" t="n">
        <v>12</v>
      </c>
      <c r="Q3" s="8" t="inlineStr">
        <is>
          <t>FY Total</t>
        </is>
      </c>
    </row>
    <row r="4">
      <c r="A4" t="inlineStr">
        <is>
          <t>REV-A</t>
        </is>
      </c>
      <c r="B4" t="inlineStr">
        <is>
          <t>Industrial Supplies</t>
        </is>
      </c>
      <c r="C4" t="inlineStr">
        <is>
          <t>Sales</t>
        </is>
      </c>
      <c r="D4" t="inlineStr">
        <is>
          <t>Revenue</t>
        </is>
      </c>
      <c r="E4" s="21" t="n">
        <v>1778.6</v>
      </c>
      <c r="F4" s="21" t="n">
        <v>1806.5</v>
      </c>
      <c r="G4" s="21" t="n">
        <v>1982</v>
      </c>
      <c r="H4" s="21" t="n">
        <v>2166</v>
      </c>
      <c r="I4" s="21" t="n">
        <v>2267.9</v>
      </c>
      <c r="J4" s="21" t="n">
        <v>2236.6</v>
      </c>
      <c r="K4" s="21" t="n">
        <v>1987.5</v>
      </c>
      <c r="L4" s="21" t="n">
        <v>2005.9</v>
      </c>
      <c r="M4" s="21" t="n">
        <v>2113.1</v>
      </c>
      <c r="Q4" s="22">
        <f>SUM(E4:P4)</f>
        <v/>
      </c>
    </row>
    <row r="5">
      <c r="A5" t="inlineStr">
        <is>
          <t>REV-B</t>
        </is>
      </c>
      <c r="B5" t="inlineStr">
        <is>
          <t>Safety Equipment</t>
        </is>
      </c>
      <c r="C5" t="inlineStr">
        <is>
          <t>Sales</t>
        </is>
      </c>
      <c r="D5" t="inlineStr">
        <is>
          <t>Revenue</t>
        </is>
      </c>
      <c r="E5" s="21" t="n">
        <v>1049</v>
      </c>
      <c r="F5" s="21" t="n">
        <v>1048.7</v>
      </c>
      <c r="G5" s="21" t="n">
        <v>1192.9</v>
      </c>
      <c r="H5" s="21" t="n">
        <v>1179</v>
      </c>
      <c r="I5" s="21" t="n">
        <v>1252.4</v>
      </c>
      <c r="J5" s="21" t="n">
        <v>1092.5</v>
      </c>
      <c r="K5" s="21" t="n">
        <v>961.3</v>
      </c>
      <c r="L5" s="21" t="n">
        <v>943.3</v>
      </c>
      <c r="M5" s="21" t="n">
        <v>1016.1</v>
      </c>
      <c r="Q5" s="22">
        <f>SUM(E5:P5)</f>
        <v/>
      </c>
    </row>
    <row r="6">
      <c r="A6" t="inlineStr">
        <is>
          <t>REV-C</t>
        </is>
      </c>
      <c r="B6" t="inlineStr">
        <is>
          <t>Services &amp; Installation</t>
        </is>
      </c>
      <c r="C6" t="inlineStr">
        <is>
          <t>Sales</t>
        </is>
      </c>
      <c r="D6" t="inlineStr">
        <is>
          <t>Revenue</t>
        </is>
      </c>
      <c r="E6" s="21" t="n">
        <v>757.2</v>
      </c>
      <c r="F6" s="21" t="n">
        <v>770.5</v>
      </c>
      <c r="G6" s="21" t="n">
        <v>840.9</v>
      </c>
      <c r="H6" s="21" t="n">
        <v>867.2</v>
      </c>
      <c r="I6" s="21" t="n">
        <v>883.4</v>
      </c>
      <c r="J6" s="21" t="n">
        <v>902.4</v>
      </c>
      <c r="K6" s="21" t="n">
        <v>786</v>
      </c>
      <c r="L6" s="21" t="n">
        <v>816.2</v>
      </c>
      <c r="M6" s="21" t="n">
        <v>860.6</v>
      </c>
      <c r="Q6" s="22">
        <f>SUM(E6:P6)</f>
        <v/>
      </c>
    </row>
    <row r="7">
      <c r="A7" t="inlineStr">
        <is>
          <t>COGS-A</t>
        </is>
      </c>
      <c r="B7" t="inlineStr">
        <is>
          <t>Cost of Goods - Industrial Supplies</t>
        </is>
      </c>
      <c r="C7" t="inlineStr">
        <is>
          <t>Operations</t>
        </is>
      </c>
      <c r="D7" t="inlineStr">
        <is>
          <t>COGS</t>
        </is>
      </c>
      <c r="E7" s="21" t="n">
        <v>1169</v>
      </c>
      <c r="F7" s="21" t="n">
        <v>1187.9</v>
      </c>
      <c r="G7" s="21" t="n">
        <v>1313.4</v>
      </c>
      <c r="H7" s="21" t="n">
        <v>1439.6</v>
      </c>
      <c r="I7" s="21" t="n">
        <v>1499.3</v>
      </c>
      <c r="J7" s="21" t="n">
        <v>1468.7</v>
      </c>
      <c r="K7" s="21" t="n">
        <v>1303.1</v>
      </c>
      <c r="L7" s="21" t="n">
        <v>1339.2</v>
      </c>
      <c r="M7" s="21" t="n">
        <v>1401.3</v>
      </c>
      <c r="Q7" s="22">
        <f>SUM(E7:P7)</f>
        <v/>
      </c>
    </row>
    <row r="8">
      <c r="A8" t="inlineStr">
        <is>
          <t>COGS-B</t>
        </is>
      </c>
      <c r="B8" t="inlineStr">
        <is>
          <t>Cost of Goods - Safety Equipment</t>
        </is>
      </c>
      <c r="C8" t="inlineStr">
        <is>
          <t>Operations</t>
        </is>
      </c>
      <c r="D8" t="inlineStr">
        <is>
          <t>COGS</t>
        </is>
      </c>
      <c r="E8" s="21" t="n">
        <v>642.3</v>
      </c>
      <c r="F8" s="21" t="n">
        <v>645.1</v>
      </c>
      <c r="G8" s="21" t="n">
        <v>725</v>
      </c>
      <c r="H8" s="21" t="n">
        <v>712.1</v>
      </c>
      <c r="I8" s="21" t="n">
        <v>747.4</v>
      </c>
      <c r="J8" s="21" t="n">
        <v>660.7</v>
      </c>
      <c r="K8" s="21" t="n">
        <v>574.7</v>
      </c>
      <c r="L8" s="21" t="n">
        <v>565.9</v>
      </c>
      <c r="M8" s="21" t="n">
        <v>608.2</v>
      </c>
      <c r="Q8" s="22">
        <f>SUM(E8:P8)</f>
        <v/>
      </c>
    </row>
    <row r="9">
      <c r="A9" t="inlineStr">
        <is>
          <t>COGS-C</t>
        </is>
      </c>
      <c r="B9" t="inlineStr">
        <is>
          <t>Cost of Services &amp; Installation</t>
        </is>
      </c>
      <c r="C9" t="inlineStr">
        <is>
          <t>Operations</t>
        </is>
      </c>
      <c r="D9" t="inlineStr">
        <is>
          <t>COGS</t>
        </is>
      </c>
      <c r="E9" s="21" t="n">
        <v>338.1</v>
      </c>
      <c r="F9" s="21" t="n">
        <v>344</v>
      </c>
      <c r="G9" s="21" t="n">
        <v>375.5</v>
      </c>
      <c r="H9" s="21" t="n">
        <v>385.8</v>
      </c>
      <c r="I9" s="21" t="n">
        <v>394.6</v>
      </c>
      <c r="J9" s="21" t="n">
        <v>410.3</v>
      </c>
      <c r="K9" s="21" t="n">
        <v>352</v>
      </c>
      <c r="L9" s="21" t="n">
        <v>368.1</v>
      </c>
      <c r="M9" s="21" t="n">
        <v>383.5</v>
      </c>
      <c r="Q9" s="22">
        <f>SUM(E9:P9)</f>
        <v/>
      </c>
    </row>
    <row r="10">
      <c r="A10" t="inlineStr">
        <is>
          <t>COGS-FRT</t>
        </is>
      </c>
      <c r="B10" t="inlineStr">
        <is>
          <t>Freight &amp; Logistics</t>
        </is>
      </c>
      <c r="C10" t="inlineStr">
        <is>
          <t>Operations</t>
        </is>
      </c>
      <c r="D10" t="inlineStr">
        <is>
          <t>COGS</t>
        </is>
      </c>
      <c r="E10" s="21" t="n">
        <v>101.2</v>
      </c>
      <c r="F10" s="21" t="n">
        <v>99.3</v>
      </c>
      <c r="G10" s="21" t="n">
        <v>132.6</v>
      </c>
      <c r="H10" s="21" t="n">
        <v>138.8</v>
      </c>
      <c r="I10" s="21" t="n">
        <v>145.2</v>
      </c>
      <c r="J10" s="21" t="n">
        <v>136.6</v>
      </c>
      <c r="K10" s="21" t="n">
        <v>123.4</v>
      </c>
      <c r="L10" s="21" t="n">
        <v>121.6</v>
      </c>
      <c r="M10" s="21" t="n">
        <v>131.2</v>
      </c>
      <c r="Q10" s="22">
        <f>SUM(E10:P10)</f>
        <v/>
      </c>
    </row>
    <row r="11">
      <c r="A11" t="inlineStr">
        <is>
          <t>SAL-SALES</t>
        </is>
      </c>
      <c r="B11" t="inlineStr">
        <is>
          <t>Salaries &amp; Benefits</t>
        </is>
      </c>
      <c r="C11" t="inlineStr">
        <is>
          <t>Sales</t>
        </is>
      </c>
      <c r="D11" t="inlineStr">
        <is>
          <t>Opex</t>
        </is>
      </c>
      <c r="E11" s="21" t="n">
        <v>200.4</v>
      </c>
      <c r="F11" s="21" t="n">
        <v>198.8</v>
      </c>
      <c r="G11" s="21" t="n">
        <v>199.3</v>
      </c>
      <c r="H11" s="21" t="n">
        <v>199.8</v>
      </c>
      <c r="I11" s="21" t="n">
        <v>199.1</v>
      </c>
      <c r="J11" s="21" t="n">
        <v>200.7</v>
      </c>
      <c r="K11" s="21" t="n">
        <v>200.6</v>
      </c>
      <c r="L11" s="21" t="n">
        <v>198</v>
      </c>
      <c r="M11" s="21" t="n">
        <v>198.2</v>
      </c>
      <c r="Q11" s="22">
        <f>SUM(E11:P11)</f>
        <v/>
      </c>
    </row>
    <row r="12">
      <c r="A12" t="inlineStr">
        <is>
          <t>COMM-SALES</t>
        </is>
      </c>
      <c r="B12" t="inlineStr">
        <is>
          <t>Sales Commissions</t>
        </is>
      </c>
      <c r="C12" t="inlineStr">
        <is>
          <t>Sales</t>
        </is>
      </c>
      <c r="D12" t="inlineStr">
        <is>
          <t>Opex</t>
        </is>
      </c>
      <c r="E12" s="21" t="n">
        <v>107.1</v>
      </c>
      <c r="F12" s="21" t="n">
        <v>109</v>
      </c>
      <c r="G12" s="21" t="n">
        <v>119.2</v>
      </c>
      <c r="H12" s="21" t="n">
        <v>125</v>
      </c>
      <c r="I12" s="21" t="n">
        <v>129.5</v>
      </c>
      <c r="J12" s="21" t="n">
        <v>126.9</v>
      </c>
      <c r="K12" s="21" t="n">
        <v>113.1</v>
      </c>
      <c r="L12" s="21" t="n">
        <v>112.6</v>
      </c>
      <c r="M12" s="21" t="n">
        <v>121.4</v>
      </c>
      <c r="Q12" s="22">
        <f>SUM(E12:P12)</f>
        <v/>
      </c>
    </row>
    <row r="13">
      <c r="A13" t="inlineStr">
        <is>
          <t>TE-SALES</t>
        </is>
      </c>
      <c r="B13" t="inlineStr">
        <is>
          <t>Travel &amp; Entertainment</t>
        </is>
      </c>
      <c r="C13" t="inlineStr">
        <is>
          <t>Sales</t>
        </is>
      </c>
      <c r="D13" t="inlineStr">
        <is>
          <t>Opex</t>
        </is>
      </c>
      <c r="E13" s="21" t="n">
        <v>30.7</v>
      </c>
      <c r="F13" s="21" t="n">
        <v>31.7</v>
      </c>
      <c r="G13" s="21" t="n">
        <v>28.8</v>
      </c>
      <c r="H13" s="21" t="n">
        <v>26.6</v>
      </c>
      <c r="I13" s="21" t="n">
        <v>30.2</v>
      </c>
      <c r="J13" s="21" t="n">
        <v>29.1</v>
      </c>
      <c r="K13" s="21" t="n">
        <v>30</v>
      </c>
      <c r="L13" s="21" t="n">
        <v>32.5</v>
      </c>
      <c r="M13" s="21" t="n">
        <v>28.3</v>
      </c>
      <c r="Q13" s="22">
        <f>SUM(E13:P13)</f>
        <v/>
      </c>
    </row>
    <row r="14">
      <c r="A14" t="inlineStr">
        <is>
          <t>SAL-MKT</t>
        </is>
      </c>
      <c r="B14" t="inlineStr">
        <is>
          <t>Salaries &amp; Benefits</t>
        </is>
      </c>
      <c r="C14" t="inlineStr">
        <is>
          <t>Marketing</t>
        </is>
      </c>
      <c r="D14" t="inlineStr">
        <is>
          <t>Opex</t>
        </is>
      </c>
      <c r="E14" s="21" t="n">
        <v>80.40000000000001</v>
      </c>
      <c r="F14" s="21" t="n">
        <v>79.8</v>
      </c>
      <c r="G14" s="21" t="n">
        <v>79.7</v>
      </c>
      <c r="H14" s="21" t="n">
        <v>80.40000000000001</v>
      </c>
      <c r="I14" s="21" t="n">
        <v>80.3</v>
      </c>
      <c r="J14" s="21" t="n">
        <v>80.59999999999999</v>
      </c>
      <c r="K14" s="21" t="n">
        <v>80.09999999999999</v>
      </c>
      <c r="L14" s="21" t="n">
        <v>80.59999999999999</v>
      </c>
      <c r="M14" s="21" t="n">
        <v>79.90000000000001</v>
      </c>
      <c r="Q14" s="22">
        <f>SUM(E14:P14)</f>
        <v/>
      </c>
    </row>
    <row r="15">
      <c r="A15" t="inlineStr">
        <is>
          <t>ADS-MKT</t>
        </is>
      </c>
      <c r="B15" t="inlineStr">
        <is>
          <t>Digital Advertising</t>
        </is>
      </c>
      <c r="C15" t="inlineStr">
        <is>
          <t>Marketing</t>
        </is>
      </c>
      <c r="D15" t="inlineStr">
        <is>
          <t>Opex</t>
        </is>
      </c>
      <c r="E15" s="21" t="n">
        <v>62</v>
      </c>
      <c r="F15" s="21" t="n">
        <v>56.5</v>
      </c>
      <c r="G15" s="21" t="n">
        <v>58.9</v>
      </c>
      <c r="H15" s="21" t="n">
        <v>65.09999999999999</v>
      </c>
      <c r="I15" s="21" t="n">
        <v>62</v>
      </c>
      <c r="J15" s="21" t="n">
        <v>64.3</v>
      </c>
      <c r="K15" s="21" t="n">
        <v>57.6</v>
      </c>
      <c r="L15" s="21" t="n">
        <v>54.1</v>
      </c>
      <c r="M15" s="21" t="n">
        <v>63.6</v>
      </c>
      <c r="Q15" s="22">
        <f>SUM(E15:P15)</f>
        <v/>
      </c>
    </row>
    <row r="16">
      <c r="A16" t="inlineStr">
        <is>
          <t>EVT-MKT</t>
        </is>
      </c>
      <c r="B16" t="inlineStr">
        <is>
          <t>Trade Shows &amp; Events</t>
        </is>
      </c>
      <c r="C16" t="inlineStr">
        <is>
          <t>Marketing</t>
        </is>
      </c>
      <c r="D16" t="inlineStr">
        <is>
          <t>Opex</t>
        </is>
      </c>
      <c r="E16" s="21" t="n">
        <v>23.3</v>
      </c>
      <c r="F16" s="21" t="n">
        <v>25.1</v>
      </c>
      <c r="G16" s="21" t="n">
        <v>125.6</v>
      </c>
      <c r="H16" s="21" t="n">
        <v>24.4</v>
      </c>
      <c r="I16" s="21" t="n">
        <v>204</v>
      </c>
      <c r="J16" s="21" t="n">
        <v>24.1</v>
      </c>
      <c r="K16" s="21" t="n">
        <v>23.2</v>
      </c>
      <c r="L16" s="21" t="n">
        <v>23.8</v>
      </c>
      <c r="M16" s="21" t="n">
        <v>119.6</v>
      </c>
      <c r="Q16" s="22">
        <f>SUM(E16:P16)</f>
        <v/>
      </c>
    </row>
    <row r="17">
      <c r="A17" t="inlineStr">
        <is>
          <t>SAL-OPS</t>
        </is>
      </c>
      <c r="B17" t="inlineStr">
        <is>
          <t>Salaries &amp; Benefits</t>
        </is>
      </c>
      <c r="C17" t="inlineStr">
        <is>
          <t>Operations</t>
        </is>
      </c>
      <c r="D17" t="inlineStr">
        <is>
          <t>Opex</t>
        </is>
      </c>
      <c r="E17" s="21" t="n">
        <v>229.5</v>
      </c>
      <c r="F17" s="21" t="n">
        <v>227.4</v>
      </c>
      <c r="G17" s="21" t="n">
        <v>230.6</v>
      </c>
      <c r="H17" s="21" t="n">
        <v>230.9</v>
      </c>
      <c r="I17" s="21" t="n">
        <v>230.7</v>
      </c>
      <c r="J17" s="21" t="n">
        <v>233.4</v>
      </c>
      <c r="K17" s="21" t="n">
        <v>231.1</v>
      </c>
      <c r="L17" s="21" t="n">
        <v>248.8</v>
      </c>
      <c r="M17" s="21" t="n">
        <v>253.3</v>
      </c>
      <c r="Q17" s="22">
        <f>SUM(E17:P17)</f>
        <v/>
      </c>
    </row>
    <row r="18">
      <c r="A18" t="inlineStr">
        <is>
          <t>RENT-OPS</t>
        </is>
      </c>
      <c r="B18" t="inlineStr">
        <is>
          <t>Warehouse Rent</t>
        </is>
      </c>
      <c r="C18" t="inlineStr">
        <is>
          <t>Operations</t>
        </is>
      </c>
      <c r="D18" t="inlineStr">
        <is>
          <t>Opex</t>
        </is>
      </c>
      <c r="E18" s="21" t="n">
        <v>120</v>
      </c>
      <c r="F18" s="21" t="n">
        <v>120</v>
      </c>
      <c r="G18" s="21" t="n">
        <v>120</v>
      </c>
      <c r="H18" s="21" t="n">
        <v>120</v>
      </c>
      <c r="I18" s="21" t="n">
        <v>120</v>
      </c>
      <c r="J18" s="21" t="n">
        <v>120</v>
      </c>
      <c r="K18" s="21" t="n">
        <v>120</v>
      </c>
      <c r="L18" s="21" t="n">
        <v>120</v>
      </c>
      <c r="M18" s="21" t="n">
        <v>120</v>
      </c>
      <c r="Q18" s="22">
        <f>SUM(E18:P18)</f>
        <v/>
      </c>
    </row>
    <row r="19">
      <c r="A19" t="inlineStr">
        <is>
          <t>MAINT-OPS</t>
        </is>
      </c>
      <c r="B19" t="inlineStr">
        <is>
          <t>Equipment Maintenance</t>
        </is>
      </c>
      <c r="C19" t="inlineStr">
        <is>
          <t>Operations</t>
        </is>
      </c>
      <c r="D19" t="inlineStr">
        <is>
          <t>Opex</t>
        </is>
      </c>
      <c r="E19" s="21" t="n">
        <v>47.4</v>
      </c>
      <c r="F19" s="21" t="n">
        <v>54.2</v>
      </c>
      <c r="G19" s="21" t="n">
        <v>51.1</v>
      </c>
      <c r="H19" s="21" t="n">
        <v>51.7</v>
      </c>
      <c r="I19" s="21" t="n">
        <v>48</v>
      </c>
      <c r="J19" s="21" t="n">
        <v>53.9</v>
      </c>
      <c r="K19" s="21" t="n">
        <v>47.4</v>
      </c>
      <c r="L19" s="21" t="n">
        <v>44.7</v>
      </c>
      <c r="M19" s="21" t="n">
        <v>54.3</v>
      </c>
      <c r="Q19" s="22">
        <f>SUM(E19:P19)</f>
        <v/>
      </c>
    </row>
    <row r="20">
      <c r="A20" t="inlineStr">
        <is>
          <t>SAL-GA</t>
        </is>
      </c>
      <c r="B20" t="inlineStr">
        <is>
          <t>Salaries &amp; Benefits</t>
        </is>
      </c>
      <c r="C20" t="inlineStr">
        <is>
          <t>G&amp;A</t>
        </is>
      </c>
      <c r="D20" t="inlineStr">
        <is>
          <t>Opex</t>
        </is>
      </c>
      <c r="E20" s="21" t="n">
        <v>150.9</v>
      </c>
      <c r="F20" s="21" t="n">
        <v>150.5</v>
      </c>
      <c r="G20" s="21" t="n">
        <v>150.8</v>
      </c>
      <c r="H20" s="21" t="n">
        <v>149.5</v>
      </c>
      <c r="I20" s="21" t="n">
        <v>150.6</v>
      </c>
      <c r="J20" s="21" t="n">
        <v>150.8</v>
      </c>
      <c r="K20" s="21" t="n">
        <v>150.6</v>
      </c>
      <c r="L20" s="21" t="n">
        <v>149.8</v>
      </c>
      <c r="M20" s="21" t="n">
        <v>147.2</v>
      </c>
      <c r="Q20" s="22">
        <f>SUM(E20:P20)</f>
        <v/>
      </c>
    </row>
    <row r="21">
      <c r="A21" t="inlineStr">
        <is>
          <t>PROF-GA</t>
        </is>
      </c>
      <c r="B21" t="inlineStr">
        <is>
          <t>Professional Fees</t>
        </is>
      </c>
      <c r="C21" t="inlineStr">
        <is>
          <t>G&amp;A</t>
        </is>
      </c>
      <c r="D21" t="inlineStr">
        <is>
          <t>Opex</t>
        </is>
      </c>
      <c r="E21" s="21" t="n">
        <v>41.6</v>
      </c>
      <c r="F21" s="21" t="n">
        <v>40.5</v>
      </c>
      <c r="G21" s="21" t="n">
        <v>40.4</v>
      </c>
      <c r="H21" s="21" t="n">
        <v>37</v>
      </c>
      <c r="I21" s="21" t="n">
        <v>37.1</v>
      </c>
      <c r="J21" s="21" t="n">
        <v>40.7</v>
      </c>
      <c r="K21" s="21" t="n">
        <v>40.2</v>
      </c>
      <c r="L21" s="21" t="n">
        <v>160.3</v>
      </c>
      <c r="M21" s="21" t="n">
        <v>40.3</v>
      </c>
      <c r="Q21" s="22">
        <f>SUM(E21:P21)</f>
        <v/>
      </c>
    </row>
    <row r="22">
      <c r="A22" t="inlineStr">
        <is>
          <t>INS-GA</t>
        </is>
      </c>
      <c r="B22" t="inlineStr">
        <is>
          <t>Insurance</t>
        </is>
      </c>
      <c r="C22" t="inlineStr">
        <is>
          <t>G&amp;A</t>
        </is>
      </c>
      <c r="D22" t="inlineStr">
        <is>
          <t>Opex</t>
        </is>
      </c>
      <c r="E22" s="21" t="n">
        <v>30</v>
      </c>
      <c r="F22" s="21" t="n">
        <v>30</v>
      </c>
      <c r="G22" s="21" t="n">
        <v>30</v>
      </c>
      <c r="H22" s="21" t="n">
        <v>30</v>
      </c>
      <c r="I22" s="21" t="n">
        <v>30</v>
      </c>
      <c r="J22" s="21" t="n">
        <v>30</v>
      </c>
      <c r="K22" s="21" t="n">
        <v>30</v>
      </c>
      <c r="L22" s="21" t="n">
        <v>30</v>
      </c>
      <c r="M22" s="21" t="n">
        <v>30</v>
      </c>
      <c r="Q22" s="22">
        <f>SUM(E22:P22)</f>
        <v/>
      </c>
    </row>
    <row r="23">
      <c r="A23" t="inlineStr">
        <is>
          <t>SAL-IT</t>
        </is>
      </c>
      <c r="B23" t="inlineStr">
        <is>
          <t>Salaries &amp; Benefits</t>
        </is>
      </c>
      <c r="C23" t="inlineStr">
        <is>
          <t>IT</t>
        </is>
      </c>
      <c r="D23" t="inlineStr">
        <is>
          <t>Opex</t>
        </is>
      </c>
      <c r="E23" s="21" t="n">
        <v>92.09999999999999</v>
      </c>
      <c r="F23" s="21" t="n">
        <v>92.40000000000001</v>
      </c>
      <c r="G23" s="21" t="n">
        <v>91.8</v>
      </c>
      <c r="H23" s="21" t="n">
        <v>92.40000000000001</v>
      </c>
      <c r="I23" s="21" t="n">
        <v>92.3</v>
      </c>
      <c r="J23" s="21" t="n">
        <v>92</v>
      </c>
      <c r="K23" s="21" t="n">
        <v>91.8</v>
      </c>
      <c r="L23" s="21" t="n">
        <v>100.2</v>
      </c>
      <c r="M23" s="21" t="n">
        <v>100.4</v>
      </c>
      <c r="Q23" s="22">
        <f>SUM(E23:P23)</f>
        <v/>
      </c>
    </row>
    <row r="24">
      <c r="A24" t="inlineStr">
        <is>
          <t>SW-IT</t>
        </is>
      </c>
      <c r="B24" t="inlineStr">
        <is>
          <t>Software &amp; Subscriptions</t>
        </is>
      </c>
      <c r="C24" t="inlineStr">
        <is>
          <t>IT</t>
        </is>
      </c>
      <c r="D24" t="inlineStr">
        <is>
          <t>Opex</t>
        </is>
      </c>
      <c r="E24" s="21" t="n">
        <v>44.4</v>
      </c>
      <c r="F24" s="21" t="n">
        <v>44.4</v>
      </c>
      <c r="G24" s="21" t="n">
        <v>43.6</v>
      </c>
      <c r="H24" s="21" t="n">
        <v>44</v>
      </c>
      <c r="I24" s="21" t="n">
        <v>43.6</v>
      </c>
      <c r="J24" s="21" t="n">
        <v>44.4</v>
      </c>
      <c r="K24" s="21" t="n">
        <v>44.5</v>
      </c>
      <c r="L24" s="21" t="n">
        <v>44.5</v>
      </c>
      <c r="M24" s="21" t="n">
        <v>45.3</v>
      </c>
      <c r="Q24" s="22">
        <f>SUM(E24:P24)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2" customWidth="1" min="3" max="3"/>
    <col width="10" customWidth="1" min="4" max="4"/>
    <col width="11" customWidth="1" min="5" max="5"/>
    <col width="11" customWidth="1" min="6" max="6"/>
    <col width="13" customWidth="1" min="7" max="7"/>
    <col width="10" customWidth="1" min="8" max="8"/>
    <col width="11" customWidth="1" min="9" max="9"/>
    <col width="11" customWidth="1" min="10" max="10"/>
    <col width="13" customWidth="1" min="11" max="11"/>
    <col width="10" customWidth="1" min="12" max="12"/>
    <col width="13" customWidth="1" min="13" max="13"/>
  </cols>
  <sheetData>
    <row r="1">
      <c r="A1" s="1" t="inlineStr">
        <is>
          <t>Budget vs. Actual ($000s)</t>
        </is>
      </c>
    </row>
    <row r="2">
      <c r="A2" s="2" t="inlineStr">
        <is>
          <t>Favorable variance = actual revenue above budget, or actual cost below budget.</t>
        </is>
      </c>
      <c r="F2">
        <f>"Month: "&amp;Inputs!B8</f>
        <v/>
      </c>
    </row>
    <row r="3">
      <c r="A3" s="8" t="inlineStr">
        <is>
          <t>ID</t>
        </is>
      </c>
      <c r="B3" s="8" t="inlineStr">
        <is>
          <t>Line item</t>
        </is>
      </c>
      <c r="C3" s="8" t="inlineStr">
        <is>
          <t>Department</t>
        </is>
      </c>
      <c r="D3" s="8" t="inlineStr">
        <is>
          <t>Category</t>
        </is>
      </c>
      <c r="E3" s="8" t="inlineStr">
        <is>
          <t>Month Budget</t>
        </is>
      </c>
      <c r="F3" s="8" t="inlineStr">
        <is>
          <t>Month Actual</t>
        </is>
      </c>
      <c r="G3" s="8" t="inlineStr">
        <is>
          <t>Month Var Fav/(Unfav)</t>
        </is>
      </c>
      <c r="H3" s="8" t="inlineStr">
        <is>
          <t>Month Var %</t>
        </is>
      </c>
      <c r="I3" s="8" t="inlineStr">
        <is>
          <t>YTD Budget</t>
        </is>
      </c>
      <c r="J3" s="8" t="inlineStr">
        <is>
          <t>YTD Actual</t>
        </is>
      </c>
      <c r="K3" s="8" t="inlineStr">
        <is>
          <t>YTD Var Fav/(Unfav)</t>
        </is>
      </c>
      <c r="L3" s="8" t="inlineStr">
        <is>
          <t>YTD Var %</t>
        </is>
      </c>
      <c r="M3" s="8" t="inlineStr">
        <is>
          <t>YTD Flag</t>
        </is>
      </c>
    </row>
    <row r="4">
      <c r="A4">
        <f>Budget!A4</f>
        <v/>
      </c>
      <c r="B4">
        <f>Budget!B4</f>
        <v/>
      </c>
      <c r="C4">
        <f>Budget!C4</f>
        <v/>
      </c>
      <c r="D4">
        <f>Budget!D4</f>
        <v/>
      </c>
      <c r="E4" s="23">
        <f>INDEX(Budget!$E4:$P4,CurMonth)</f>
        <v/>
      </c>
      <c r="F4" s="23">
        <f>INDEX(Actuals!$E4:$P4,CurMonth)</f>
        <v/>
      </c>
      <c r="G4" s="23">
        <f>IF($D4="Revenue",F4-E4,E4-F4)</f>
        <v/>
      </c>
      <c r="H4" s="24">
        <f>IF(E4=0,0,G4/ABS(E4))</f>
        <v/>
      </c>
      <c r="I4" s="23">
        <f>SUMPRODUCT(Budget!$E4:$P4*(Budget!$E$3:$P$3&lt;=CurMonth))</f>
        <v/>
      </c>
      <c r="J4" s="23">
        <f>SUMPRODUCT(Actuals!$E4:$P4*(Budget!$E$3:$P$3&lt;=CurMonth))</f>
        <v/>
      </c>
      <c r="K4" s="23">
        <f>IF($D4="Revenue",J4-I4,I4-J4)</f>
        <v/>
      </c>
      <c r="L4" s="24">
        <f>IF(I4=0,0,K4/ABS(I4))</f>
        <v/>
      </c>
      <c r="M4">
        <f>IF(AND(ABS(L4)&gt;=ThrPct,ABS(K4)&gt;=ThrAmt),IF(K4&lt;0,"Unfavorable","Favorable"),"")</f>
        <v/>
      </c>
    </row>
    <row r="5">
      <c r="A5">
        <f>Budget!A5</f>
        <v/>
      </c>
      <c r="B5">
        <f>Budget!B5</f>
        <v/>
      </c>
      <c r="C5">
        <f>Budget!C5</f>
        <v/>
      </c>
      <c r="D5">
        <f>Budget!D5</f>
        <v/>
      </c>
      <c r="E5" s="23">
        <f>INDEX(Budget!$E5:$P5,CurMonth)</f>
        <v/>
      </c>
      <c r="F5" s="23">
        <f>INDEX(Actuals!$E5:$P5,CurMonth)</f>
        <v/>
      </c>
      <c r="G5" s="23">
        <f>IF($D5="Revenue",F5-E5,E5-F5)</f>
        <v/>
      </c>
      <c r="H5" s="24">
        <f>IF(E5=0,0,G5/ABS(E5))</f>
        <v/>
      </c>
      <c r="I5" s="23">
        <f>SUMPRODUCT(Budget!$E5:$P5*(Budget!$E$3:$P$3&lt;=CurMonth))</f>
        <v/>
      </c>
      <c r="J5" s="23">
        <f>SUMPRODUCT(Actuals!$E5:$P5*(Budget!$E$3:$P$3&lt;=CurMonth))</f>
        <v/>
      </c>
      <c r="K5" s="23">
        <f>IF($D5="Revenue",J5-I5,I5-J5)</f>
        <v/>
      </c>
      <c r="L5" s="24">
        <f>IF(I5=0,0,K5/ABS(I5))</f>
        <v/>
      </c>
      <c r="M5">
        <f>IF(AND(ABS(L5)&gt;=ThrPct,ABS(K5)&gt;=ThrAmt),IF(K5&lt;0,"Unfavorable","Favorable"),"")</f>
        <v/>
      </c>
    </row>
    <row r="6">
      <c r="A6">
        <f>Budget!A6</f>
        <v/>
      </c>
      <c r="B6">
        <f>Budget!B6</f>
        <v/>
      </c>
      <c r="C6">
        <f>Budget!C6</f>
        <v/>
      </c>
      <c r="D6">
        <f>Budget!D6</f>
        <v/>
      </c>
      <c r="E6" s="23">
        <f>INDEX(Budget!$E6:$P6,CurMonth)</f>
        <v/>
      </c>
      <c r="F6" s="23">
        <f>INDEX(Actuals!$E6:$P6,CurMonth)</f>
        <v/>
      </c>
      <c r="G6" s="23">
        <f>IF($D6="Revenue",F6-E6,E6-F6)</f>
        <v/>
      </c>
      <c r="H6" s="24">
        <f>IF(E6=0,0,G6/ABS(E6))</f>
        <v/>
      </c>
      <c r="I6" s="23">
        <f>SUMPRODUCT(Budget!$E6:$P6*(Budget!$E$3:$P$3&lt;=CurMonth))</f>
        <v/>
      </c>
      <c r="J6" s="23">
        <f>SUMPRODUCT(Actuals!$E6:$P6*(Budget!$E$3:$P$3&lt;=CurMonth))</f>
        <v/>
      </c>
      <c r="K6" s="23">
        <f>IF($D6="Revenue",J6-I6,I6-J6)</f>
        <v/>
      </c>
      <c r="L6" s="24">
        <f>IF(I6=0,0,K6/ABS(I6))</f>
        <v/>
      </c>
      <c r="M6">
        <f>IF(AND(ABS(L6)&gt;=ThrPct,ABS(K6)&gt;=ThrAmt),IF(K6&lt;0,"Unfavorable","Favorable"),"")</f>
        <v/>
      </c>
    </row>
    <row r="7">
      <c r="A7">
        <f>Budget!A7</f>
        <v/>
      </c>
      <c r="B7">
        <f>Budget!B7</f>
        <v/>
      </c>
      <c r="C7">
        <f>Budget!C7</f>
        <v/>
      </c>
      <c r="D7">
        <f>Budget!D7</f>
        <v/>
      </c>
      <c r="E7" s="23">
        <f>INDEX(Budget!$E7:$P7,CurMonth)</f>
        <v/>
      </c>
      <c r="F7" s="23">
        <f>INDEX(Actuals!$E7:$P7,CurMonth)</f>
        <v/>
      </c>
      <c r="G7" s="23">
        <f>IF($D7="Revenue",F7-E7,E7-F7)</f>
        <v/>
      </c>
      <c r="H7" s="24">
        <f>IF(E7=0,0,G7/ABS(E7))</f>
        <v/>
      </c>
      <c r="I7" s="23">
        <f>SUMPRODUCT(Budget!$E7:$P7*(Budget!$E$3:$P$3&lt;=CurMonth))</f>
        <v/>
      </c>
      <c r="J7" s="23">
        <f>SUMPRODUCT(Actuals!$E7:$P7*(Budget!$E$3:$P$3&lt;=CurMonth))</f>
        <v/>
      </c>
      <c r="K7" s="23">
        <f>IF($D7="Revenue",J7-I7,I7-J7)</f>
        <v/>
      </c>
      <c r="L7" s="24">
        <f>IF(I7=0,0,K7/ABS(I7))</f>
        <v/>
      </c>
      <c r="M7">
        <f>IF(AND(ABS(L7)&gt;=ThrPct,ABS(K7)&gt;=ThrAmt),IF(K7&lt;0,"Unfavorable","Favorable"),"")</f>
        <v/>
      </c>
    </row>
    <row r="8">
      <c r="A8">
        <f>Budget!A8</f>
        <v/>
      </c>
      <c r="B8">
        <f>Budget!B8</f>
        <v/>
      </c>
      <c r="C8">
        <f>Budget!C8</f>
        <v/>
      </c>
      <c r="D8">
        <f>Budget!D8</f>
        <v/>
      </c>
      <c r="E8" s="23">
        <f>INDEX(Budget!$E8:$P8,CurMonth)</f>
        <v/>
      </c>
      <c r="F8" s="23">
        <f>INDEX(Actuals!$E8:$P8,CurMonth)</f>
        <v/>
      </c>
      <c r="G8" s="23">
        <f>IF($D8="Revenue",F8-E8,E8-F8)</f>
        <v/>
      </c>
      <c r="H8" s="24">
        <f>IF(E8=0,0,G8/ABS(E8))</f>
        <v/>
      </c>
      <c r="I8" s="23">
        <f>SUMPRODUCT(Budget!$E8:$P8*(Budget!$E$3:$P$3&lt;=CurMonth))</f>
        <v/>
      </c>
      <c r="J8" s="23">
        <f>SUMPRODUCT(Actuals!$E8:$P8*(Budget!$E$3:$P$3&lt;=CurMonth))</f>
        <v/>
      </c>
      <c r="K8" s="23">
        <f>IF($D8="Revenue",J8-I8,I8-J8)</f>
        <v/>
      </c>
      <c r="L8" s="24">
        <f>IF(I8=0,0,K8/ABS(I8))</f>
        <v/>
      </c>
      <c r="M8">
        <f>IF(AND(ABS(L8)&gt;=ThrPct,ABS(K8)&gt;=ThrAmt),IF(K8&lt;0,"Unfavorable","Favorable"),"")</f>
        <v/>
      </c>
    </row>
    <row r="9">
      <c r="A9">
        <f>Budget!A9</f>
        <v/>
      </c>
      <c r="B9">
        <f>Budget!B9</f>
        <v/>
      </c>
      <c r="C9">
        <f>Budget!C9</f>
        <v/>
      </c>
      <c r="D9">
        <f>Budget!D9</f>
        <v/>
      </c>
      <c r="E9" s="23">
        <f>INDEX(Budget!$E9:$P9,CurMonth)</f>
        <v/>
      </c>
      <c r="F9" s="23">
        <f>INDEX(Actuals!$E9:$P9,CurMonth)</f>
        <v/>
      </c>
      <c r="G9" s="23">
        <f>IF($D9="Revenue",F9-E9,E9-F9)</f>
        <v/>
      </c>
      <c r="H9" s="24">
        <f>IF(E9=0,0,G9/ABS(E9))</f>
        <v/>
      </c>
      <c r="I9" s="23">
        <f>SUMPRODUCT(Budget!$E9:$P9*(Budget!$E$3:$P$3&lt;=CurMonth))</f>
        <v/>
      </c>
      <c r="J9" s="23">
        <f>SUMPRODUCT(Actuals!$E9:$P9*(Budget!$E$3:$P$3&lt;=CurMonth))</f>
        <v/>
      </c>
      <c r="K9" s="23">
        <f>IF($D9="Revenue",J9-I9,I9-J9)</f>
        <v/>
      </c>
      <c r="L9" s="24">
        <f>IF(I9=0,0,K9/ABS(I9))</f>
        <v/>
      </c>
      <c r="M9">
        <f>IF(AND(ABS(L9)&gt;=ThrPct,ABS(K9)&gt;=ThrAmt),IF(K9&lt;0,"Unfavorable","Favorable"),"")</f>
        <v/>
      </c>
    </row>
    <row r="10">
      <c r="A10">
        <f>Budget!A10</f>
        <v/>
      </c>
      <c r="B10">
        <f>Budget!B10</f>
        <v/>
      </c>
      <c r="C10">
        <f>Budget!C10</f>
        <v/>
      </c>
      <c r="D10">
        <f>Budget!D10</f>
        <v/>
      </c>
      <c r="E10" s="23">
        <f>INDEX(Budget!$E10:$P10,CurMonth)</f>
        <v/>
      </c>
      <c r="F10" s="23">
        <f>INDEX(Actuals!$E10:$P10,CurMonth)</f>
        <v/>
      </c>
      <c r="G10" s="23">
        <f>IF($D10="Revenue",F10-E10,E10-F10)</f>
        <v/>
      </c>
      <c r="H10" s="24">
        <f>IF(E10=0,0,G10/ABS(E10))</f>
        <v/>
      </c>
      <c r="I10" s="23">
        <f>SUMPRODUCT(Budget!$E10:$P10*(Budget!$E$3:$P$3&lt;=CurMonth))</f>
        <v/>
      </c>
      <c r="J10" s="23">
        <f>SUMPRODUCT(Actuals!$E10:$P10*(Budget!$E$3:$P$3&lt;=CurMonth))</f>
        <v/>
      </c>
      <c r="K10" s="23">
        <f>IF($D10="Revenue",J10-I10,I10-J10)</f>
        <v/>
      </c>
      <c r="L10" s="24">
        <f>IF(I10=0,0,K10/ABS(I10))</f>
        <v/>
      </c>
      <c r="M10">
        <f>IF(AND(ABS(L10)&gt;=ThrPct,ABS(K10)&gt;=ThrAmt),IF(K10&lt;0,"Unfavorable","Favorable"),"")</f>
        <v/>
      </c>
    </row>
    <row r="11">
      <c r="A11">
        <f>Budget!A11</f>
        <v/>
      </c>
      <c r="B11">
        <f>Budget!B11</f>
        <v/>
      </c>
      <c r="C11">
        <f>Budget!C11</f>
        <v/>
      </c>
      <c r="D11">
        <f>Budget!D11</f>
        <v/>
      </c>
      <c r="E11" s="23">
        <f>INDEX(Budget!$E11:$P11,CurMonth)</f>
        <v/>
      </c>
      <c r="F11" s="23">
        <f>INDEX(Actuals!$E11:$P11,CurMonth)</f>
        <v/>
      </c>
      <c r="G11" s="23">
        <f>IF($D11="Revenue",F11-E11,E11-F11)</f>
        <v/>
      </c>
      <c r="H11" s="24">
        <f>IF(E11=0,0,G11/ABS(E11))</f>
        <v/>
      </c>
      <c r="I11" s="23">
        <f>SUMPRODUCT(Budget!$E11:$P11*(Budget!$E$3:$P$3&lt;=CurMonth))</f>
        <v/>
      </c>
      <c r="J11" s="23">
        <f>SUMPRODUCT(Actuals!$E11:$P11*(Budget!$E$3:$P$3&lt;=CurMonth))</f>
        <v/>
      </c>
      <c r="K11" s="23">
        <f>IF($D11="Revenue",J11-I11,I11-J11)</f>
        <v/>
      </c>
      <c r="L11" s="24">
        <f>IF(I11=0,0,K11/ABS(I11))</f>
        <v/>
      </c>
      <c r="M11">
        <f>IF(AND(ABS(L11)&gt;=ThrPct,ABS(K11)&gt;=ThrAmt),IF(K11&lt;0,"Unfavorable","Favorable"),"")</f>
        <v/>
      </c>
    </row>
    <row r="12">
      <c r="A12">
        <f>Budget!A12</f>
        <v/>
      </c>
      <c r="B12">
        <f>Budget!B12</f>
        <v/>
      </c>
      <c r="C12">
        <f>Budget!C12</f>
        <v/>
      </c>
      <c r="D12">
        <f>Budget!D12</f>
        <v/>
      </c>
      <c r="E12" s="23">
        <f>INDEX(Budget!$E12:$P12,CurMonth)</f>
        <v/>
      </c>
      <c r="F12" s="23">
        <f>INDEX(Actuals!$E12:$P12,CurMonth)</f>
        <v/>
      </c>
      <c r="G12" s="23">
        <f>IF($D12="Revenue",F12-E12,E12-F12)</f>
        <v/>
      </c>
      <c r="H12" s="24">
        <f>IF(E12=0,0,G12/ABS(E12))</f>
        <v/>
      </c>
      <c r="I12" s="23">
        <f>SUMPRODUCT(Budget!$E12:$P12*(Budget!$E$3:$P$3&lt;=CurMonth))</f>
        <v/>
      </c>
      <c r="J12" s="23">
        <f>SUMPRODUCT(Actuals!$E12:$P12*(Budget!$E$3:$P$3&lt;=CurMonth))</f>
        <v/>
      </c>
      <c r="K12" s="23">
        <f>IF($D12="Revenue",J12-I12,I12-J12)</f>
        <v/>
      </c>
      <c r="L12" s="24">
        <f>IF(I12=0,0,K12/ABS(I12))</f>
        <v/>
      </c>
      <c r="M12">
        <f>IF(AND(ABS(L12)&gt;=ThrPct,ABS(K12)&gt;=ThrAmt),IF(K12&lt;0,"Unfavorable","Favorable"),"")</f>
        <v/>
      </c>
    </row>
    <row r="13">
      <c r="A13">
        <f>Budget!A13</f>
        <v/>
      </c>
      <c r="B13">
        <f>Budget!B13</f>
        <v/>
      </c>
      <c r="C13">
        <f>Budget!C13</f>
        <v/>
      </c>
      <c r="D13">
        <f>Budget!D13</f>
        <v/>
      </c>
      <c r="E13" s="23">
        <f>INDEX(Budget!$E13:$P13,CurMonth)</f>
        <v/>
      </c>
      <c r="F13" s="23">
        <f>INDEX(Actuals!$E13:$P13,CurMonth)</f>
        <v/>
      </c>
      <c r="G13" s="23">
        <f>IF($D13="Revenue",F13-E13,E13-F13)</f>
        <v/>
      </c>
      <c r="H13" s="24">
        <f>IF(E13=0,0,G13/ABS(E13))</f>
        <v/>
      </c>
      <c r="I13" s="23">
        <f>SUMPRODUCT(Budget!$E13:$P13*(Budget!$E$3:$P$3&lt;=CurMonth))</f>
        <v/>
      </c>
      <c r="J13" s="23">
        <f>SUMPRODUCT(Actuals!$E13:$P13*(Budget!$E$3:$P$3&lt;=CurMonth))</f>
        <v/>
      </c>
      <c r="K13" s="23">
        <f>IF($D13="Revenue",J13-I13,I13-J13)</f>
        <v/>
      </c>
      <c r="L13" s="24">
        <f>IF(I13=0,0,K13/ABS(I13))</f>
        <v/>
      </c>
      <c r="M13">
        <f>IF(AND(ABS(L13)&gt;=ThrPct,ABS(K13)&gt;=ThrAmt),IF(K13&lt;0,"Unfavorable","Favorable"),"")</f>
        <v/>
      </c>
    </row>
    <row r="14">
      <c r="A14">
        <f>Budget!A14</f>
        <v/>
      </c>
      <c r="B14">
        <f>Budget!B14</f>
        <v/>
      </c>
      <c r="C14">
        <f>Budget!C14</f>
        <v/>
      </c>
      <c r="D14">
        <f>Budget!D14</f>
        <v/>
      </c>
      <c r="E14" s="23">
        <f>INDEX(Budget!$E14:$P14,CurMonth)</f>
        <v/>
      </c>
      <c r="F14" s="23">
        <f>INDEX(Actuals!$E14:$P14,CurMonth)</f>
        <v/>
      </c>
      <c r="G14" s="23">
        <f>IF($D14="Revenue",F14-E14,E14-F14)</f>
        <v/>
      </c>
      <c r="H14" s="24">
        <f>IF(E14=0,0,G14/ABS(E14))</f>
        <v/>
      </c>
      <c r="I14" s="23">
        <f>SUMPRODUCT(Budget!$E14:$P14*(Budget!$E$3:$P$3&lt;=CurMonth))</f>
        <v/>
      </c>
      <c r="J14" s="23">
        <f>SUMPRODUCT(Actuals!$E14:$P14*(Budget!$E$3:$P$3&lt;=CurMonth))</f>
        <v/>
      </c>
      <c r="K14" s="23">
        <f>IF($D14="Revenue",J14-I14,I14-J14)</f>
        <v/>
      </c>
      <c r="L14" s="24">
        <f>IF(I14=0,0,K14/ABS(I14))</f>
        <v/>
      </c>
      <c r="M14">
        <f>IF(AND(ABS(L14)&gt;=ThrPct,ABS(K14)&gt;=ThrAmt),IF(K14&lt;0,"Unfavorable","Favorable"),"")</f>
        <v/>
      </c>
    </row>
    <row r="15">
      <c r="A15">
        <f>Budget!A15</f>
        <v/>
      </c>
      <c r="B15">
        <f>Budget!B15</f>
        <v/>
      </c>
      <c r="C15">
        <f>Budget!C15</f>
        <v/>
      </c>
      <c r="D15">
        <f>Budget!D15</f>
        <v/>
      </c>
      <c r="E15" s="23">
        <f>INDEX(Budget!$E15:$P15,CurMonth)</f>
        <v/>
      </c>
      <c r="F15" s="23">
        <f>INDEX(Actuals!$E15:$P15,CurMonth)</f>
        <v/>
      </c>
      <c r="G15" s="23">
        <f>IF($D15="Revenue",F15-E15,E15-F15)</f>
        <v/>
      </c>
      <c r="H15" s="24">
        <f>IF(E15=0,0,G15/ABS(E15))</f>
        <v/>
      </c>
      <c r="I15" s="23">
        <f>SUMPRODUCT(Budget!$E15:$P15*(Budget!$E$3:$P$3&lt;=CurMonth))</f>
        <v/>
      </c>
      <c r="J15" s="23">
        <f>SUMPRODUCT(Actuals!$E15:$P15*(Budget!$E$3:$P$3&lt;=CurMonth))</f>
        <v/>
      </c>
      <c r="K15" s="23">
        <f>IF($D15="Revenue",J15-I15,I15-J15)</f>
        <v/>
      </c>
      <c r="L15" s="24">
        <f>IF(I15=0,0,K15/ABS(I15))</f>
        <v/>
      </c>
      <c r="M15">
        <f>IF(AND(ABS(L15)&gt;=ThrPct,ABS(K15)&gt;=ThrAmt),IF(K15&lt;0,"Unfavorable","Favorable"),"")</f>
        <v/>
      </c>
    </row>
    <row r="16">
      <c r="A16">
        <f>Budget!A16</f>
        <v/>
      </c>
      <c r="B16">
        <f>Budget!B16</f>
        <v/>
      </c>
      <c r="C16">
        <f>Budget!C16</f>
        <v/>
      </c>
      <c r="D16">
        <f>Budget!D16</f>
        <v/>
      </c>
      <c r="E16" s="23">
        <f>INDEX(Budget!$E16:$P16,CurMonth)</f>
        <v/>
      </c>
      <c r="F16" s="23">
        <f>INDEX(Actuals!$E16:$P16,CurMonth)</f>
        <v/>
      </c>
      <c r="G16" s="23">
        <f>IF($D16="Revenue",F16-E16,E16-F16)</f>
        <v/>
      </c>
      <c r="H16" s="24">
        <f>IF(E16=0,0,G16/ABS(E16))</f>
        <v/>
      </c>
      <c r="I16" s="23">
        <f>SUMPRODUCT(Budget!$E16:$P16*(Budget!$E$3:$P$3&lt;=CurMonth))</f>
        <v/>
      </c>
      <c r="J16" s="23">
        <f>SUMPRODUCT(Actuals!$E16:$P16*(Budget!$E$3:$P$3&lt;=CurMonth))</f>
        <v/>
      </c>
      <c r="K16" s="23">
        <f>IF($D16="Revenue",J16-I16,I16-J16)</f>
        <v/>
      </c>
      <c r="L16" s="24">
        <f>IF(I16=0,0,K16/ABS(I16))</f>
        <v/>
      </c>
      <c r="M16">
        <f>IF(AND(ABS(L16)&gt;=ThrPct,ABS(K16)&gt;=ThrAmt),IF(K16&lt;0,"Unfavorable","Favorable"),"")</f>
        <v/>
      </c>
    </row>
    <row r="17">
      <c r="A17">
        <f>Budget!A17</f>
        <v/>
      </c>
      <c r="B17">
        <f>Budget!B17</f>
        <v/>
      </c>
      <c r="C17">
        <f>Budget!C17</f>
        <v/>
      </c>
      <c r="D17">
        <f>Budget!D17</f>
        <v/>
      </c>
      <c r="E17" s="23">
        <f>INDEX(Budget!$E17:$P17,CurMonth)</f>
        <v/>
      </c>
      <c r="F17" s="23">
        <f>INDEX(Actuals!$E17:$P17,CurMonth)</f>
        <v/>
      </c>
      <c r="G17" s="23">
        <f>IF($D17="Revenue",F17-E17,E17-F17)</f>
        <v/>
      </c>
      <c r="H17" s="24">
        <f>IF(E17=0,0,G17/ABS(E17))</f>
        <v/>
      </c>
      <c r="I17" s="23">
        <f>SUMPRODUCT(Budget!$E17:$P17*(Budget!$E$3:$P$3&lt;=CurMonth))</f>
        <v/>
      </c>
      <c r="J17" s="23">
        <f>SUMPRODUCT(Actuals!$E17:$P17*(Budget!$E$3:$P$3&lt;=CurMonth))</f>
        <v/>
      </c>
      <c r="K17" s="23">
        <f>IF($D17="Revenue",J17-I17,I17-J17)</f>
        <v/>
      </c>
      <c r="L17" s="24">
        <f>IF(I17=0,0,K17/ABS(I17))</f>
        <v/>
      </c>
      <c r="M17">
        <f>IF(AND(ABS(L17)&gt;=ThrPct,ABS(K17)&gt;=ThrAmt),IF(K17&lt;0,"Unfavorable","Favorable"),"")</f>
        <v/>
      </c>
    </row>
    <row r="18">
      <c r="A18">
        <f>Budget!A18</f>
        <v/>
      </c>
      <c r="B18">
        <f>Budget!B18</f>
        <v/>
      </c>
      <c r="C18">
        <f>Budget!C18</f>
        <v/>
      </c>
      <c r="D18">
        <f>Budget!D18</f>
        <v/>
      </c>
      <c r="E18" s="23">
        <f>INDEX(Budget!$E18:$P18,CurMonth)</f>
        <v/>
      </c>
      <c r="F18" s="23">
        <f>INDEX(Actuals!$E18:$P18,CurMonth)</f>
        <v/>
      </c>
      <c r="G18" s="23">
        <f>IF($D18="Revenue",F18-E18,E18-F18)</f>
        <v/>
      </c>
      <c r="H18" s="24">
        <f>IF(E18=0,0,G18/ABS(E18))</f>
        <v/>
      </c>
      <c r="I18" s="23">
        <f>SUMPRODUCT(Budget!$E18:$P18*(Budget!$E$3:$P$3&lt;=CurMonth))</f>
        <v/>
      </c>
      <c r="J18" s="23">
        <f>SUMPRODUCT(Actuals!$E18:$P18*(Budget!$E$3:$P$3&lt;=CurMonth))</f>
        <v/>
      </c>
      <c r="K18" s="23">
        <f>IF($D18="Revenue",J18-I18,I18-J18)</f>
        <v/>
      </c>
      <c r="L18" s="24">
        <f>IF(I18=0,0,K18/ABS(I18))</f>
        <v/>
      </c>
      <c r="M18">
        <f>IF(AND(ABS(L18)&gt;=ThrPct,ABS(K18)&gt;=ThrAmt),IF(K18&lt;0,"Unfavorable","Favorable"),"")</f>
        <v/>
      </c>
    </row>
    <row r="19">
      <c r="A19">
        <f>Budget!A19</f>
        <v/>
      </c>
      <c r="B19">
        <f>Budget!B19</f>
        <v/>
      </c>
      <c r="C19">
        <f>Budget!C19</f>
        <v/>
      </c>
      <c r="D19">
        <f>Budget!D19</f>
        <v/>
      </c>
      <c r="E19" s="23">
        <f>INDEX(Budget!$E19:$P19,CurMonth)</f>
        <v/>
      </c>
      <c r="F19" s="23">
        <f>INDEX(Actuals!$E19:$P19,CurMonth)</f>
        <v/>
      </c>
      <c r="G19" s="23">
        <f>IF($D19="Revenue",F19-E19,E19-F19)</f>
        <v/>
      </c>
      <c r="H19" s="24">
        <f>IF(E19=0,0,G19/ABS(E19))</f>
        <v/>
      </c>
      <c r="I19" s="23">
        <f>SUMPRODUCT(Budget!$E19:$P19*(Budget!$E$3:$P$3&lt;=CurMonth))</f>
        <v/>
      </c>
      <c r="J19" s="23">
        <f>SUMPRODUCT(Actuals!$E19:$P19*(Budget!$E$3:$P$3&lt;=CurMonth))</f>
        <v/>
      </c>
      <c r="K19" s="23">
        <f>IF($D19="Revenue",J19-I19,I19-J19)</f>
        <v/>
      </c>
      <c r="L19" s="24">
        <f>IF(I19=0,0,K19/ABS(I19))</f>
        <v/>
      </c>
      <c r="M19">
        <f>IF(AND(ABS(L19)&gt;=ThrPct,ABS(K19)&gt;=ThrAmt),IF(K19&lt;0,"Unfavorable","Favorable"),"")</f>
        <v/>
      </c>
    </row>
    <row r="20">
      <c r="A20">
        <f>Budget!A20</f>
        <v/>
      </c>
      <c r="B20">
        <f>Budget!B20</f>
        <v/>
      </c>
      <c r="C20">
        <f>Budget!C20</f>
        <v/>
      </c>
      <c r="D20">
        <f>Budget!D20</f>
        <v/>
      </c>
      <c r="E20" s="23">
        <f>INDEX(Budget!$E20:$P20,CurMonth)</f>
        <v/>
      </c>
      <c r="F20" s="23">
        <f>INDEX(Actuals!$E20:$P20,CurMonth)</f>
        <v/>
      </c>
      <c r="G20" s="23">
        <f>IF($D20="Revenue",F20-E20,E20-F20)</f>
        <v/>
      </c>
      <c r="H20" s="24">
        <f>IF(E20=0,0,G20/ABS(E20))</f>
        <v/>
      </c>
      <c r="I20" s="23">
        <f>SUMPRODUCT(Budget!$E20:$P20*(Budget!$E$3:$P$3&lt;=CurMonth))</f>
        <v/>
      </c>
      <c r="J20" s="23">
        <f>SUMPRODUCT(Actuals!$E20:$P20*(Budget!$E$3:$P$3&lt;=CurMonth))</f>
        <v/>
      </c>
      <c r="K20" s="23">
        <f>IF($D20="Revenue",J20-I20,I20-J20)</f>
        <v/>
      </c>
      <c r="L20" s="24">
        <f>IF(I20=0,0,K20/ABS(I20))</f>
        <v/>
      </c>
      <c r="M20">
        <f>IF(AND(ABS(L20)&gt;=ThrPct,ABS(K20)&gt;=ThrAmt),IF(K20&lt;0,"Unfavorable","Favorable"),"")</f>
        <v/>
      </c>
    </row>
    <row r="21">
      <c r="A21">
        <f>Budget!A21</f>
        <v/>
      </c>
      <c r="B21">
        <f>Budget!B21</f>
        <v/>
      </c>
      <c r="C21">
        <f>Budget!C21</f>
        <v/>
      </c>
      <c r="D21">
        <f>Budget!D21</f>
        <v/>
      </c>
      <c r="E21" s="23">
        <f>INDEX(Budget!$E21:$P21,CurMonth)</f>
        <v/>
      </c>
      <c r="F21" s="23">
        <f>INDEX(Actuals!$E21:$P21,CurMonth)</f>
        <v/>
      </c>
      <c r="G21" s="23">
        <f>IF($D21="Revenue",F21-E21,E21-F21)</f>
        <v/>
      </c>
      <c r="H21" s="24">
        <f>IF(E21=0,0,G21/ABS(E21))</f>
        <v/>
      </c>
      <c r="I21" s="23">
        <f>SUMPRODUCT(Budget!$E21:$P21*(Budget!$E$3:$P$3&lt;=CurMonth))</f>
        <v/>
      </c>
      <c r="J21" s="23">
        <f>SUMPRODUCT(Actuals!$E21:$P21*(Budget!$E$3:$P$3&lt;=CurMonth))</f>
        <v/>
      </c>
      <c r="K21" s="23">
        <f>IF($D21="Revenue",J21-I21,I21-J21)</f>
        <v/>
      </c>
      <c r="L21" s="24">
        <f>IF(I21=0,0,K21/ABS(I21))</f>
        <v/>
      </c>
      <c r="M21">
        <f>IF(AND(ABS(L21)&gt;=ThrPct,ABS(K21)&gt;=ThrAmt),IF(K21&lt;0,"Unfavorable","Favorable"),"")</f>
        <v/>
      </c>
    </row>
    <row r="22">
      <c r="A22">
        <f>Budget!A22</f>
        <v/>
      </c>
      <c r="B22">
        <f>Budget!B22</f>
        <v/>
      </c>
      <c r="C22">
        <f>Budget!C22</f>
        <v/>
      </c>
      <c r="D22">
        <f>Budget!D22</f>
        <v/>
      </c>
      <c r="E22" s="23">
        <f>INDEX(Budget!$E22:$P22,CurMonth)</f>
        <v/>
      </c>
      <c r="F22" s="23">
        <f>INDEX(Actuals!$E22:$P22,CurMonth)</f>
        <v/>
      </c>
      <c r="G22" s="23">
        <f>IF($D22="Revenue",F22-E22,E22-F22)</f>
        <v/>
      </c>
      <c r="H22" s="24">
        <f>IF(E22=0,0,G22/ABS(E22))</f>
        <v/>
      </c>
      <c r="I22" s="23">
        <f>SUMPRODUCT(Budget!$E22:$P22*(Budget!$E$3:$P$3&lt;=CurMonth))</f>
        <v/>
      </c>
      <c r="J22" s="23">
        <f>SUMPRODUCT(Actuals!$E22:$P22*(Budget!$E$3:$P$3&lt;=CurMonth))</f>
        <v/>
      </c>
      <c r="K22" s="23">
        <f>IF($D22="Revenue",J22-I22,I22-J22)</f>
        <v/>
      </c>
      <c r="L22" s="24">
        <f>IF(I22=0,0,K22/ABS(I22))</f>
        <v/>
      </c>
      <c r="M22">
        <f>IF(AND(ABS(L22)&gt;=ThrPct,ABS(K22)&gt;=ThrAmt),IF(K22&lt;0,"Unfavorable","Favorable"),"")</f>
        <v/>
      </c>
    </row>
    <row r="23">
      <c r="A23">
        <f>Budget!A23</f>
        <v/>
      </c>
      <c r="B23">
        <f>Budget!B23</f>
        <v/>
      </c>
      <c r="C23">
        <f>Budget!C23</f>
        <v/>
      </c>
      <c r="D23">
        <f>Budget!D23</f>
        <v/>
      </c>
      <c r="E23" s="23">
        <f>INDEX(Budget!$E23:$P23,CurMonth)</f>
        <v/>
      </c>
      <c r="F23" s="23">
        <f>INDEX(Actuals!$E23:$P23,CurMonth)</f>
        <v/>
      </c>
      <c r="G23" s="23">
        <f>IF($D23="Revenue",F23-E23,E23-F23)</f>
        <v/>
      </c>
      <c r="H23" s="24">
        <f>IF(E23=0,0,G23/ABS(E23))</f>
        <v/>
      </c>
      <c r="I23" s="23">
        <f>SUMPRODUCT(Budget!$E23:$P23*(Budget!$E$3:$P$3&lt;=CurMonth))</f>
        <v/>
      </c>
      <c r="J23" s="23">
        <f>SUMPRODUCT(Actuals!$E23:$P23*(Budget!$E$3:$P$3&lt;=CurMonth))</f>
        <v/>
      </c>
      <c r="K23" s="23">
        <f>IF($D23="Revenue",J23-I23,I23-J23)</f>
        <v/>
      </c>
      <c r="L23" s="24">
        <f>IF(I23=0,0,K23/ABS(I23))</f>
        <v/>
      </c>
      <c r="M23">
        <f>IF(AND(ABS(L23)&gt;=ThrPct,ABS(K23)&gt;=ThrAmt),IF(K23&lt;0,"Unfavorable","Favorable"),"")</f>
        <v/>
      </c>
    </row>
    <row r="24">
      <c r="A24">
        <f>Budget!A24</f>
        <v/>
      </c>
      <c r="B24">
        <f>Budget!B24</f>
        <v/>
      </c>
      <c r="C24">
        <f>Budget!C24</f>
        <v/>
      </c>
      <c r="D24">
        <f>Budget!D24</f>
        <v/>
      </c>
      <c r="E24" s="23">
        <f>INDEX(Budget!$E24:$P24,CurMonth)</f>
        <v/>
      </c>
      <c r="F24" s="23">
        <f>INDEX(Actuals!$E24:$P24,CurMonth)</f>
        <v/>
      </c>
      <c r="G24" s="23">
        <f>IF($D24="Revenue",F24-E24,E24-F24)</f>
        <v/>
      </c>
      <c r="H24" s="24">
        <f>IF(E24=0,0,G24/ABS(E24))</f>
        <v/>
      </c>
      <c r="I24" s="23">
        <f>SUMPRODUCT(Budget!$E24:$P24*(Budget!$E$3:$P$3&lt;=CurMonth))</f>
        <v/>
      </c>
      <c r="J24" s="23">
        <f>SUMPRODUCT(Actuals!$E24:$P24*(Budget!$E$3:$P$3&lt;=CurMonth))</f>
        <v/>
      </c>
      <c r="K24" s="23">
        <f>IF($D24="Revenue",J24-I24,I24-J24)</f>
        <v/>
      </c>
      <c r="L24" s="24">
        <f>IF(I24=0,0,K24/ABS(I24))</f>
        <v/>
      </c>
      <c r="M24">
        <f>IF(AND(ABS(L24)&gt;=ThrPct,ABS(K24)&gt;=ThrAmt),IF(K24&lt;0,"Unfavorable","Favorable"),"")</f>
        <v/>
      </c>
    </row>
  </sheetData>
  <conditionalFormatting sqref="M4:M24">
    <cfRule type="cellIs" priority="1" operator="equal" dxfId="0">
      <formula>"Unfavorable"</formula>
    </cfRule>
    <cfRule type="cellIs" priority="2" operator="equal" dxfId="1">
      <formula>"Favorable"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2" customWidth="1" min="3" max="3"/>
    <col width="10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1" customWidth="1" min="18" max="18"/>
    <col width="11" customWidth="1" min="19" max="19"/>
    <col width="12" customWidth="1" min="20" max="20"/>
    <col width="9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Rolling Forecast ($000s)</t>
        </is>
      </c>
    </row>
    <row r="2">
      <c r="A2" s="2" t="inlineStr">
        <is>
          <t>Closed months = actuals. Open months use the line's method (blue, editable).</t>
        </is>
      </c>
    </row>
    <row r="3">
      <c r="A3" s="8" t="inlineStr">
        <is>
          <t>ID</t>
        </is>
      </c>
      <c r="B3" s="8" t="inlineStr">
        <is>
          <t>Line item</t>
        </is>
      </c>
      <c r="C3" s="8" t="inlineStr">
        <is>
          <t>Department</t>
        </is>
      </c>
      <c r="D3" s="8" t="inlineStr">
        <is>
          <t>Category</t>
        </is>
      </c>
      <c r="E3" s="8" t="inlineStr">
        <is>
          <t>Method</t>
        </is>
      </c>
      <c r="F3" s="9" t="n">
        <v>1</v>
      </c>
      <c r="G3" s="10" t="n">
        <v>2</v>
      </c>
      <c r="H3" s="11" t="n">
        <v>3</v>
      </c>
      <c r="I3" s="12" t="n">
        <v>4</v>
      </c>
      <c r="J3" s="13" t="n">
        <v>5</v>
      </c>
      <c r="K3" s="14" t="n">
        <v>6</v>
      </c>
      <c r="L3" s="15" t="n">
        <v>7</v>
      </c>
      <c r="M3" s="16" t="n">
        <v>8</v>
      </c>
      <c r="N3" s="17" t="n">
        <v>9</v>
      </c>
      <c r="O3" s="18" t="n">
        <v>10</v>
      </c>
      <c r="P3" s="19" t="n">
        <v>11</v>
      </c>
      <c r="Q3" s="20" t="n">
        <v>12</v>
      </c>
      <c r="R3" s="8" t="inlineStr">
        <is>
          <t>FY Forecast</t>
        </is>
      </c>
      <c r="S3" s="8" t="inlineStr">
        <is>
          <t>FY Budget</t>
        </is>
      </c>
      <c r="T3" s="8" t="inlineStr">
        <is>
          <t>FY Var Fav/(Unfav)</t>
        </is>
      </c>
      <c r="U3" s="8" t="inlineStr">
        <is>
          <t>FY Var %</t>
        </is>
      </c>
      <c r="V3" s="8" t="inlineStr">
        <is>
          <t>YTD Actual</t>
        </is>
      </c>
      <c r="W3" s="8" t="inlineStr">
        <is>
          <t>YTD Budget</t>
        </is>
      </c>
      <c r="X3" s="8" t="inlineStr">
        <is>
          <t>YTD Attainment</t>
        </is>
      </c>
      <c r="Y3" s="8" t="inlineStr">
        <is>
          <t>3-mo Run-rate</t>
        </is>
      </c>
    </row>
    <row r="4">
      <c r="A4">
        <f>Budget!A4</f>
        <v/>
      </c>
      <c r="B4">
        <f>Budget!B4</f>
        <v/>
      </c>
      <c r="C4">
        <f>Budget!C4</f>
        <v/>
      </c>
      <c r="D4">
        <f>Budget!D4</f>
        <v/>
      </c>
      <c r="E4" s="25" t="inlineStr">
        <is>
          <t>Attainment</t>
        </is>
      </c>
      <c r="F4" s="23">
        <f>IF(F$3&lt;=CurMonth,Actuals!E4,IF($E4="Attainment",Budget!E4*$X4,IF($E4="Run-rate",$Y4,Budget!E4)))</f>
        <v/>
      </c>
      <c r="G4" s="23">
        <f>IF(G$3&lt;=CurMonth,Actuals!F4,IF($E4="Attainment",Budget!F4*$X4,IF($E4="Run-rate",$Y4,Budget!F4)))</f>
        <v/>
      </c>
      <c r="H4" s="23">
        <f>IF(H$3&lt;=CurMonth,Actuals!G4,IF($E4="Attainment",Budget!G4*$X4,IF($E4="Run-rate",$Y4,Budget!G4)))</f>
        <v/>
      </c>
      <c r="I4" s="23">
        <f>IF(I$3&lt;=CurMonth,Actuals!H4,IF($E4="Attainment",Budget!H4*$X4,IF($E4="Run-rate",$Y4,Budget!H4)))</f>
        <v/>
      </c>
      <c r="J4" s="23">
        <f>IF(J$3&lt;=CurMonth,Actuals!I4,IF($E4="Attainment",Budget!I4*$X4,IF($E4="Run-rate",$Y4,Budget!I4)))</f>
        <v/>
      </c>
      <c r="K4" s="23">
        <f>IF(K$3&lt;=CurMonth,Actuals!J4,IF($E4="Attainment",Budget!J4*$X4,IF($E4="Run-rate",$Y4,Budget!J4)))</f>
        <v/>
      </c>
      <c r="L4" s="23">
        <f>IF(L$3&lt;=CurMonth,Actuals!K4,IF($E4="Attainment",Budget!K4*$X4,IF($E4="Run-rate",$Y4,Budget!K4)))</f>
        <v/>
      </c>
      <c r="M4" s="23">
        <f>IF(M$3&lt;=CurMonth,Actuals!L4,IF($E4="Attainment",Budget!L4*$X4,IF($E4="Run-rate",$Y4,Budget!L4)))</f>
        <v/>
      </c>
      <c r="N4" s="23">
        <f>IF(N$3&lt;=CurMonth,Actuals!M4,IF($E4="Attainment",Budget!M4*$X4,IF($E4="Run-rate",$Y4,Budget!M4)))</f>
        <v/>
      </c>
      <c r="O4" s="23">
        <f>IF(O$3&lt;=CurMonth,Actuals!N4,IF($E4="Attainment",Budget!N4*$X4,IF($E4="Run-rate",$Y4,Budget!N4)))</f>
        <v/>
      </c>
      <c r="P4" s="23">
        <f>IF(P$3&lt;=CurMonth,Actuals!O4,IF($E4="Attainment",Budget!O4*$X4,IF($E4="Run-rate",$Y4,Budget!O4)))</f>
        <v/>
      </c>
      <c r="Q4" s="23">
        <f>IF(Q$3&lt;=CurMonth,Actuals!P4,IF($E4="Attainment",Budget!P4*$X4,IF($E4="Run-rate",$Y4,Budget!P4)))</f>
        <v/>
      </c>
      <c r="R4" s="23">
        <f>SUM(F4:Q4)</f>
        <v/>
      </c>
      <c r="S4" s="23">
        <f>Budget!Q4</f>
        <v/>
      </c>
      <c r="T4" s="23">
        <f>IF($D4="Revenue",R4-S4,S4-R4)</f>
        <v/>
      </c>
      <c r="U4" s="24">
        <f>IF(S4=0,0,T4/ABS(S4))</f>
        <v/>
      </c>
      <c r="V4" s="23">
        <f>SUMPRODUCT(Actuals!$E4:$P4*(Budget!$E$3:$P$3&lt;=CurMonth))</f>
        <v/>
      </c>
      <c r="W4" s="23">
        <f>SUMPRODUCT(Budget!$E4:$P4*(Budget!$E$3:$P$3&lt;=CurMonth))</f>
        <v/>
      </c>
      <c r="X4" s="26">
        <f>IF(W4=0,1,V4/W4)</f>
        <v/>
      </c>
      <c r="Y4" s="23">
        <f>SUMPRODUCT(Actuals!$E4:$P4*(Budget!$E$3:$P$3&gt;CurMonth-3)*(Budget!$E$3:$P$3&lt;=CurMonth))/3</f>
        <v/>
      </c>
    </row>
    <row r="5">
      <c r="A5">
        <f>Budget!A5</f>
        <v/>
      </c>
      <c r="B5">
        <f>Budget!B5</f>
        <v/>
      </c>
      <c r="C5">
        <f>Budget!C5</f>
        <v/>
      </c>
      <c r="D5">
        <f>Budget!D5</f>
        <v/>
      </c>
      <c r="E5" s="25" t="inlineStr">
        <is>
          <t>Attainment</t>
        </is>
      </c>
      <c r="F5" s="23">
        <f>IF(F$3&lt;=CurMonth,Actuals!E5,IF($E5="Attainment",Budget!E5*$X5,IF($E5="Run-rate",$Y5,Budget!E5)))</f>
        <v/>
      </c>
      <c r="G5" s="23">
        <f>IF(G$3&lt;=CurMonth,Actuals!F5,IF($E5="Attainment",Budget!F5*$X5,IF($E5="Run-rate",$Y5,Budget!F5)))</f>
        <v/>
      </c>
      <c r="H5" s="23">
        <f>IF(H$3&lt;=CurMonth,Actuals!G5,IF($E5="Attainment",Budget!G5*$X5,IF($E5="Run-rate",$Y5,Budget!G5)))</f>
        <v/>
      </c>
      <c r="I5" s="23">
        <f>IF(I$3&lt;=CurMonth,Actuals!H5,IF($E5="Attainment",Budget!H5*$X5,IF($E5="Run-rate",$Y5,Budget!H5)))</f>
        <v/>
      </c>
      <c r="J5" s="23">
        <f>IF(J$3&lt;=CurMonth,Actuals!I5,IF($E5="Attainment",Budget!I5*$X5,IF($E5="Run-rate",$Y5,Budget!I5)))</f>
        <v/>
      </c>
      <c r="K5" s="23">
        <f>IF(K$3&lt;=CurMonth,Actuals!J5,IF($E5="Attainment",Budget!J5*$X5,IF($E5="Run-rate",$Y5,Budget!J5)))</f>
        <v/>
      </c>
      <c r="L5" s="23">
        <f>IF(L$3&lt;=CurMonth,Actuals!K5,IF($E5="Attainment",Budget!K5*$X5,IF($E5="Run-rate",$Y5,Budget!K5)))</f>
        <v/>
      </c>
      <c r="M5" s="23">
        <f>IF(M$3&lt;=CurMonth,Actuals!L5,IF($E5="Attainment",Budget!L5*$X5,IF($E5="Run-rate",$Y5,Budget!L5)))</f>
        <v/>
      </c>
      <c r="N5" s="23">
        <f>IF(N$3&lt;=CurMonth,Actuals!M5,IF($E5="Attainment",Budget!M5*$X5,IF($E5="Run-rate",$Y5,Budget!M5)))</f>
        <v/>
      </c>
      <c r="O5" s="23">
        <f>IF(O$3&lt;=CurMonth,Actuals!N5,IF($E5="Attainment",Budget!N5*$X5,IF($E5="Run-rate",$Y5,Budget!N5)))</f>
        <v/>
      </c>
      <c r="P5" s="23">
        <f>IF(P$3&lt;=CurMonth,Actuals!O5,IF($E5="Attainment",Budget!O5*$X5,IF($E5="Run-rate",$Y5,Budget!O5)))</f>
        <v/>
      </c>
      <c r="Q5" s="23">
        <f>IF(Q$3&lt;=CurMonth,Actuals!P5,IF($E5="Attainment",Budget!P5*$X5,IF($E5="Run-rate",$Y5,Budget!P5)))</f>
        <v/>
      </c>
      <c r="R5" s="23">
        <f>SUM(F5:Q5)</f>
        <v/>
      </c>
      <c r="S5" s="23">
        <f>Budget!Q5</f>
        <v/>
      </c>
      <c r="T5" s="23">
        <f>IF($D5="Revenue",R5-S5,S5-R5)</f>
        <v/>
      </c>
      <c r="U5" s="24">
        <f>IF(S5=0,0,T5/ABS(S5))</f>
        <v/>
      </c>
      <c r="V5" s="23">
        <f>SUMPRODUCT(Actuals!$E5:$P5*(Budget!$E$3:$P$3&lt;=CurMonth))</f>
        <v/>
      </c>
      <c r="W5" s="23">
        <f>SUMPRODUCT(Budget!$E5:$P5*(Budget!$E$3:$P$3&lt;=CurMonth))</f>
        <v/>
      </c>
      <c r="X5" s="26">
        <f>IF(W5=0,1,V5/W5)</f>
        <v/>
      </c>
      <c r="Y5" s="23">
        <f>SUMPRODUCT(Actuals!$E5:$P5*(Budget!$E$3:$P$3&gt;CurMonth-3)*(Budget!$E$3:$P$3&lt;=CurMonth))/3</f>
        <v/>
      </c>
    </row>
    <row r="6">
      <c r="A6">
        <f>Budget!A6</f>
        <v/>
      </c>
      <c r="B6">
        <f>Budget!B6</f>
        <v/>
      </c>
      <c r="C6">
        <f>Budget!C6</f>
        <v/>
      </c>
      <c r="D6">
        <f>Budget!D6</f>
        <v/>
      </c>
      <c r="E6" s="25" t="inlineStr">
        <is>
          <t>Attainment</t>
        </is>
      </c>
      <c r="F6" s="23">
        <f>IF(F$3&lt;=CurMonth,Actuals!E6,IF($E6="Attainment",Budget!E6*$X6,IF($E6="Run-rate",$Y6,Budget!E6)))</f>
        <v/>
      </c>
      <c r="G6" s="23">
        <f>IF(G$3&lt;=CurMonth,Actuals!F6,IF($E6="Attainment",Budget!F6*$X6,IF($E6="Run-rate",$Y6,Budget!F6)))</f>
        <v/>
      </c>
      <c r="H6" s="23">
        <f>IF(H$3&lt;=CurMonth,Actuals!G6,IF($E6="Attainment",Budget!G6*$X6,IF($E6="Run-rate",$Y6,Budget!G6)))</f>
        <v/>
      </c>
      <c r="I6" s="23">
        <f>IF(I$3&lt;=CurMonth,Actuals!H6,IF($E6="Attainment",Budget!H6*$X6,IF($E6="Run-rate",$Y6,Budget!H6)))</f>
        <v/>
      </c>
      <c r="J6" s="23">
        <f>IF(J$3&lt;=CurMonth,Actuals!I6,IF($E6="Attainment",Budget!I6*$X6,IF($E6="Run-rate",$Y6,Budget!I6)))</f>
        <v/>
      </c>
      <c r="K6" s="23">
        <f>IF(K$3&lt;=CurMonth,Actuals!J6,IF($E6="Attainment",Budget!J6*$X6,IF($E6="Run-rate",$Y6,Budget!J6)))</f>
        <v/>
      </c>
      <c r="L6" s="23">
        <f>IF(L$3&lt;=CurMonth,Actuals!K6,IF($E6="Attainment",Budget!K6*$X6,IF($E6="Run-rate",$Y6,Budget!K6)))</f>
        <v/>
      </c>
      <c r="M6" s="23">
        <f>IF(M$3&lt;=CurMonth,Actuals!L6,IF($E6="Attainment",Budget!L6*$X6,IF($E6="Run-rate",$Y6,Budget!L6)))</f>
        <v/>
      </c>
      <c r="N6" s="23">
        <f>IF(N$3&lt;=CurMonth,Actuals!M6,IF($E6="Attainment",Budget!M6*$X6,IF($E6="Run-rate",$Y6,Budget!M6)))</f>
        <v/>
      </c>
      <c r="O6" s="23">
        <f>IF(O$3&lt;=CurMonth,Actuals!N6,IF($E6="Attainment",Budget!N6*$X6,IF($E6="Run-rate",$Y6,Budget!N6)))</f>
        <v/>
      </c>
      <c r="P6" s="23">
        <f>IF(P$3&lt;=CurMonth,Actuals!O6,IF($E6="Attainment",Budget!O6*$X6,IF($E6="Run-rate",$Y6,Budget!O6)))</f>
        <v/>
      </c>
      <c r="Q6" s="23">
        <f>IF(Q$3&lt;=CurMonth,Actuals!P6,IF($E6="Attainment",Budget!P6*$X6,IF($E6="Run-rate",$Y6,Budget!P6)))</f>
        <v/>
      </c>
      <c r="R6" s="23">
        <f>SUM(F6:Q6)</f>
        <v/>
      </c>
      <c r="S6" s="23">
        <f>Budget!Q6</f>
        <v/>
      </c>
      <c r="T6" s="23">
        <f>IF($D6="Revenue",R6-S6,S6-R6)</f>
        <v/>
      </c>
      <c r="U6" s="24">
        <f>IF(S6=0,0,T6/ABS(S6))</f>
        <v/>
      </c>
      <c r="V6" s="23">
        <f>SUMPRODUCT(Actuals!$E6:$P6*(Budget!$E$3:$P$3&lt;=CurMonth))</f>
        <v/>
      </c>
      <c r="W6" s="23">
        <f>SUMPRODUCT(Budget!$E6:$P6*(Budget!$E$3:$P$3&lt;=CurMonth))</f>
        <v/>
      </c>
      <c r="X6" s="26">
        <f>IF(W6=0,1,V6/W6)</f>
        <v/>
      </c>
      <c r="Y6" s="23">
        <f>SUMPRODUCT(Actuals!$E6:$P6*(Budget!$E$3:$P$3&gt;CurMonth-3)*(Budget!$E$3:$P$3&lt;=CurMonth))/3</f>
        <v/>
      </c>
    </row>
    <row r="7">
      <c r="A7">
        <f>Budget!A7</f>
        <v/>
      </c>
      <c r="B7">
        <f>Budget!B7</f>
        <v/>
      </c>
      <c r="C7">
        <f>Budget!C7</f>
        <v/>
      </c>
      <c r="D7">
        <f>Budget!D7</f>
        <v/>
      </c>
      <c r="E7" s="25" t="inlineStr">
        <is>
          <t>Attainment</t>
        </is>
      </c>
      <c r="F7" s="23">
        <f>IF(F$3&lt;=CurMonth,Actuals!E7,IF($E7="Attainment",Budget!E7*$X7,IF($E7="Run-rate",$Y7,Budget!E7)))</f>
        <v/>
      </c>
      <c r="G7" s="23">
        <f>IF(G$3&lt;=CurMonth,Actuals!F7,IF($E7="Attainment",Budget!F7*$X7,IF($E7="Run-rate",$Y7,Budget!F7)))</f>
        <v/>
      </c>
      <c r="H7" s="23">
        <f>IF(H$3&lt;=CurMonth,Actuals!G7,IF($E7="Attainment",Budget!G7*$X7,IF($E7="Run-rate",$Y7,Budget!G7)))</f>
        <v/>
      </c>
      <c r="I7" s="23">
        <f>IF(I$3&lt;=CurMonth,Actuals!H7,IF($E7="Attainment",Budget!H7*$X7,IF($E7="Run-rate",$Y7,Budget!H7)))</f>
        <v/>
      </c>
      <c r="J7" s="23">
        <f>IF(J$3&lt;=CurMonth,Actuals!I7,IF($E7="Attainment",Budget!I7*$X7,IF($E7="Run-rate",$Y7,Budget!I7)))</f>
        <v/>
      </c>
      <c r="K7" s="23">
        <f>IF(K$3&lt;=CurMonth,Actuals!J7,IF($E7="Attainment",Budget!J7*$X7,IF($E7="Run-rate",$Y7,Budget!J7)))</f>
        <v/>
      </c>
      <c r="L7" s="23">
        <f>IF(L$3&lt;=CurMonth,Actuals!K7,IF($E7="Attainment",Budget!K7*$X7,IF($E7="Run-rate",$Y7,Budget!K7)))</f>
        <v/>
      </c>
      <c r="M7" s="23">
        <f>IF(M$3&lt;=CurMonth,Actuals!L7,IF($E7="Attainment",Budget!L7*$X7,IF($E7="Run-rate",$Y7,Budget!L7)))</f>
        <v/>
      </c>
      <c r="N7" s="23">
        <f>IF(N$3&lt;=CurMonth,Actuals!M7,IF($E7="Attainment",Budget!M7*$X7,IF($E7="Run-rate",$Y7,Budget!M7)))</f>
        <v/>
      </c>
      <c r="O7" s="23">
        <f>IF(O$3&lt;=CurMonth,Actuals!N7,IF($E7="Attainment",Budget!N7*$X7,IF($E7="Run-rate",$Y7,Budget!N7)))</f>
        <v/>
      </c>
      <c r="P7" s="23">
        <f>IF(P$3&lt;=CurMonth,Actuals!O7,IF($E7="Attainment",Budget!O7*$X7,IF($E7="Run-rate",$Y7,Budget!O7)))</f>
        <v/>
      </c>
      <c r="Q7" s="23">
        <f>IF(Q$3&lt;=CurMonth,Actuals!P7,IF($E7="Attainment",Budget!P7*$X7,IF($E7="Run-rate",$Y7,Budget!P7)))</f>
        <v/>
      </c>
      <c r="R7" s="23">
        <f>SUM(F7:Q7)</f>
        <v/>
      </c>
      <c r="S7" s="23">
        <f>Budget!Q7</f>
        <v/>
      </c>
      <c r="T7" s="23">
        <f>IF($D7="Revenue",R7-S7,S7-R7)</f>
        <v/>
      </c>
      <c r="U7" s="24">
        <f>IF(S7=0,0,T7/ABS(S7))</f>
        <v/>
      </c>
      <c r="V7" s="23">
        <f>SUMPRODUCT(Actuals!$E7:$P7*(Budget!$E$3:$P$3&lt;=CurMonth))</f>
        <v/>
      </c>
      <c r="W7" s="23">
        <f>SUMPRODUCT(Budget!$E7:$P7*(Budget!$E$3:$P$3&lt;=CurMonth))</f>
        <v/>
      </c>
      <c r="X7" s="26">
        <f>IF(W7=0,1,V7/W7)</f>
        <v/>
      </c>
      <c r="Y7" s="23">
        <f>SUMPRODUCT(Actuals!$E7:$P7*(Budget!$E$3:$P$3&gt;CurMonth-3)*(Budget!$E$3:$P$3&lt;=CurMonth))/3</f>
        <v/>
      </c>
    </row>
    <row r="8">
      <c r="A8">
        <f>Budget!A8</f>
        <v/>
      </c>
      <c r="B8">
        <f>Budget!B8</f>
        <v/>
      </c>
      <c r="C8">
        <f>Budget!C8</f>
        <v/>
      </c>
      <c r="D8">
        <f>Budget!D8</f>
        <v/>
      </c>
      <c r="E8" s="25" t="inlineStr">
        <is>
          <t>Attainment</t>
        </is>
      </c>
      <c r="F8" s="23">
        <f>IF(F$3&lt;=CurMonth,Actuals!E8,IF($E8="Attainment",Budget!E8*$X8,IF($E8="Run-rate",$Y8,Budget!E8)))</f>
        <v/>
      </c>
      <c r="G8" s="23">
        <f>IF(G$3&lt;=CurMonth,Actuals!F8,IF($E8="Attainment",Budget!F8*$X8,IF($E8="Run-rate",$Y8,Budget!F8)))</f>
        <v/>
      </c>
      <c r="H8" s="23">
        <f>IF(H$3&lt;=CurMonth,Actuals!G8,IF($E8="Attainment",Budget!G8*$X8,IF($E8="Run-rate",$Y8,Budget!G8)))</f>
        <v/>
      </c>
      <c r="I8" s="23">
        <f>IF(I$3&lt;=CurMonth,Actuals!H8,IF($E8="Attainment",Budget!H8*$X8,IF($E8="Run-rate",$Y8,Budget!H8)))</f>
        <v/>
      </c>
      <c r="J8" s="23">
        <f>IF(J$3&lt;=CurMonth,Actuals!I8,IF($E8="Attainment",Budget!I8*$X8,IF($E8="Run-rate",$Y8,Budget!I8)))</f>
        <v/>
      </c>
      <c r="K8" s="23">
        <f>IF(K$3&lt;=CurMonth,Actuals!J8,IF($E8="Attainment",Budget!J8*$X8,IF($E8="Run-rate",$Y8,Budget!J8)))</f>
        <v/>
      </c>
      <c r="L8" s="23">
        <f>IF(L$3&lt;=CurMonth,Actuals!K8,IF($E8="Attainment",Budget!K8*$X8,IF($E8="Run-rate",$Y8,Budget!K8)))</f>
        <v/>
      </c>
      <c r="M8" s="23">
        <f>IF(M$3&lt;=CurMonth,Actuals!L8,IF($E8="Attainment",Budget!L8*$X8,IF($E8="Run-rate",$Y8,Budget!L8)))</f>
        <v/>
      </c>
      <c r="N8" s="23">
        <f>IF(N$3&lt;=CurMonth,Actuals!M8,IF($E8="Attainment",Budget!M8*$X8,IF($E8="Run-rate",$Y8,Budget!M8)))</f>
        <v/>
      </c>
      <c r="O8" s="23">
        <f>IF(O$3&lt;=CurMonth,Actuals!N8,IF($E8="Attainment",Budget!N8*$X8,IF($E8="Run-rate",$Y8,Budget!N8)))</f>
        <v/>
      </c>
      <c r="P8" s="23">
        <f>IF(P$3&lt;=CurMonth,Actuals!O8,IF($E8="Attainment",Budget!O8*$X8,IF($E8="Run-rate",$Y8,Budget!O8)))</f>
        <v/>
      </c>
      <c r="Q8" s="23">
        <f>IF(Q$3&lt;=CurMonth,Actuals!P8,IF($E8="Attainment",Budget!P8*$X8,IF($E8="Run-rate",$Y8,Budget!P8)))</f>
        <v/>
      </c>
      <c r="R8" s="23">
        <f>SUM(F8:Q8)</f>
        <v/>
      </c>
      <c r="S8" s="23">
        <f>Budget!Q8</f>
        <v/>
      </c>
      <c r="T8" s="23">
        <f>IF($D8="Revenue",R8-S8,S8-R8)</f>
        <v/>
      </c>
      <c r="U8" s="24">
        <f>IF(S8=0,0,T8/ABS(S8))</f>
        <v/>
      </c>
      <c r="V8" s="23">
        <f>SUMPRODUCT(Actuals!$E8:$P8*(Budget!$E$3:$P$3&lt;=CurMonth))</f>
        <v/>
      </c>
      <c r="W8" s="23">
        <f>SUMPRODUCT(Budget!$E8:$P8*(Budget!$E$3:$P$3&lt;=CurMonth))</f>
        <v/>
      </c>
      <c r="X8" s="26">
        <f>IF(W8=0,1,V8/W8)</f>
        <v/>
      </c>
      <c r="Y8" s="23">
        <f>SUMPRODUCT(Actuals!$E8:$P8*(Budget!$E$3:$P$3&gt;CurMonth-3)*(Budget!$E$3:$P$3&lt;=CurMonth))/3</f>
        <v/>
      </c>
    </row>
    <row r="9">
      <c r="A9">
        <f>Budget!A9</f>
        <v/>
      </c>
      <c r="B9">
        <f>Budget!B9</f>
        <v/>
      </c>
      <c r="C9">
        <f>Budget!C9</f>
        <v/>
      </c>
      <c r="D9">
        <f>Budget!D9</f>
        <v/>
      </c>
      <c r="E9" s="25" t="inlineStr">
        <is>
          <t>Attainment</t>
        </is>
      </c>
      <c r="F9" s="23">
        <f>IF(F$3&lt;=CurMonth,Actuals!E9,IF($E9="Attainment",Budget!E9*$X9,IF($E9="Run-rate",$Y9,Budget!E9)))</f>
        <v/>
      </c>
      <c r="G9" s="23">
        <f>IF(G$3&lt;=CurMonth,Actuals!F9,IF($E9="Attainment",Budget!F9*$X9,IF($E9="Run-rate",$Y9,Budget!F9)))</f>
        <v/>
      </c>
      <c r="H9" s="23">
        <f>IF(H$3&lt;=CurMonth,Actuals!G9,IF($E9="Attainment",Budget!G9*$X9,IF($E9="Run-rate",$Y9,Budget!G9)))</f>
        <v/>
      </c>
      <c r="I9" s="23">
        <f>IF(I$3&lt;=CurMonth,Actuals!H9,IF($E9="Attainment",Budget!H9*$X9,IF($E9="Run-rate",$Y9,Budget!H9)))</f>
        <v/>
      </c>
      <c r="J9" s="23">
        <f>IF(J$3&lt;=CurMonth,Actuals!I9,IF($E9="Attainment",Budget!I9*$X9,IF($E9="Run-rate",$Y9,Budget!I9)))</f>
        <v/>
      </c>
      <c r="K9" s="23">
        <f>IF(K$3&lt;=CurMonth,Actuals!J9,IF($E9="Attainment",Budget!J9*$X9,IF($E9="Run-rate",$Y9,Budget!J9)))</f>
        <v/>
      </c>
      <c r="L9" s="23">
        <f>IF(L$3&lt;=CurMonth,Actuals!K9,IF($E9="Attainment",Budget!K9*$X9,IF($E9="Run-rate",$Y9,Budget!K9)))</f>
        <v/>
      </c>
      <c r="M9" s="23">
        <f>IF(M$3&lt;=CurMonth,Actuals!L9,IF($E9="Attainment",Budget!L9*$X9,IF($E9="Run-rate",$Y9,Budget!L9)))</f>
        <v/>
      </c>
      <c r="N9" s="23">
        <f>IF(N$3&lt;=CurMonth,Actuals!M9,IF($E9="Attainment",Budget!M9*$X9,IF($E9="Run-rate",$Y9,Budget!M9)))</f>
        <v/>
      </c>
      <c r="O9" s="23">
        <f>IF(O$3&lt;=CurMonth,Actuals!N9,IF($E9="Attainment",Budget!N9*$X9,IF($E9="Run-rate",$Y9,Budget!N9)))</f>
        <v/>
      </c>
      <c r="P9" s="23">
        <f>IF(P$3&lt;=CurMonth,Actuals!O9,IF($E9="Attainment",Budget!O9*$X9,IF($E9="Run-rate",$Y9,Budget!O9)))</f>
        <v/>
      </c>
      <c r="Q9" s="23">
        <f>IF(Q$3&lt;=CurMonth,Actuals!P9,IF($E9="Attainment",Budget!P9*$X9,IF($E9="Run-rate",$Y9,Budget!P9)))</f>
        <v/>
      </c>
      <c r="R9" s="23">
        <f>SUM(F9:Q9)</f>
        <v/>
      </c>
      <c r="S9" s="23">
        <f>Budget!Q9</f>
        <v/>
      </c>
      <c r="T9" s="23">
        <f>IF($D9="Revenue",R9-S9,S9-R9)</f>
        <v/>
      </c>
      <c r="U9" s="24">
        <f>IF(S9=0,0,T9/ABS(S9))</f>
        <v/>
      </c>
      <c r="V9" s="23">
        <f>SUMPRODUCT(Actuals!$E9:$P9*(Budget!$E$3:$P$3&lt;=CurMonth))</f>
        <v/>
      </c>
      <c r="W9" s="23">
        <f>SUMPRODUCT(Budget!$E9:$P9*(Budget!$E$3:$P$3&lt;=CurMonth))</f>
        <v/>
      </c>
      <c r="X9" s="26">
        <f>IF(W9=0,1,V9/W9)</f>
        <v/>
      </c>
      <c r="Y9" s="23">
        <f>SUMPRODUCT(Actuals!$E9:$P9*(Budget!$E$3:$P$3&gt;CurMonth-3)*(Budget!$E$3:$P$3&lt;=CurMonth))/3</f>
        <v/>
      </c>
    </row>
    <row r="10">
      <c r="A10">
        <f>Budget!A10</f>
        <v/>
      </c>
      <c r="B10">
        <f>Budget!B10</f>
        <v/>
      </c>
      <c r="C10">
        <f>Budget!C10</f>
        <v/>
      </c>
      <c r="D10">
        <f>Budget!D10</f>
        <v/>
      </c>
      <c r="E10" s="25" t="inlineStr">
        <is>
          <t>Attainment</t>
        </is>
      </c>
      <c r="F10" s="23">
        <f>IF(F$3&lt;=CurMonth,Actuals!E10,IF($E10="Attainment",Budget!E10*$X10,IF($E10="Run-rate",$Y10,Budget!E10)))</f>
        <v/>
      </c>
      <c r="G10" s="23">
        <f>IF(G$3&lt;=CurMonth,Actuals!F10,IF($E10="Attainment",Budget!F10*$X10,IF($E10="Run-rate",$Y10,Budget!F10)))</f>
        <v/>
      </c>
      <c r="H10" s="23">
        <f>IF(H$3&lt;=CurMonth,Actuals!G10,IF($E10="Attainment",Budget!G10*$X10,IF($E10="Run-rate",$Y10,Budget!G10)))</f>
        <v/>
      </c>
      <c r="I10" s="23">
        <f>IF(I$3&lt;=CurMonth,Actuals!H10,IF($E10="Attainment",Budget!H10*$X10,IF($E10="Run-rate",$Y10,Budget!H10)))</f>
        <v/>
      </c>
      <c r="J10" s="23">
        <f>IF(J$3&lt;=CurMonth,Actuals!I10,IF($E10="Attainment",Budget!I10*$X10,IF($E10="Run-rate",$Y10,Budget!I10)))</f>
        <v/>
      </c>
      <c r="K10" s="23">
        <f>IF(K$3&lt;=CurMonth,Actuals!J10,IF($E10="Attainment",Budget!J10*$X10,IF($E10="Run-rate",$Y10,Budget!J10)))</f>
        <v/>
      </c>
      <c r="L10" s="23">
        <f>IF(L$3&lt;=CurMonth,Actuals!K10,IF($E10="Attainment",Budget!K10*$X10,IF($E10="Run-rate",$Y10,Budget!K10)))</f>
        <v/>
      </c>
      <c r="M10" s="23">
        <f>IF(M$3&lt;=CurMonth,Actuals!L10,IF($E10="Attainment",Budget!L10*$X10,IF($E10="Run-rate",$Y10,Budget!L10)))</f>
        <v/>
      </c>
      <c r="N10" s="23">
        <f>IF(N$3&lt;=CurMonth,Actuals!M10,IF($E10="Attainment",Budget!M10*$X10,IF($E10="Run-rate",$Y10,Budget!M10)))</f>
        <v/>
      </c>
      <c r="O10" s="23">
        <f>IF(O$3&lt;=CurMonth,Actuals!N10,IF($E10="Attainment",Budget!N10*$X10,IF($E10="Run-rate",$Y10,Budget!N10)))</f>
        <v/>
      </c>
      <c r="P10" s="23">
        <f>IF(P$3&lt;=CurMonth,Actuals!O10,IF($E10="Attainment",Budget!O10*$X10,IF($E10="Run-rate",$Y10,Budget!O10)))</f>
        <v/>
      </c>
      <c r="Q10" s="23">
        <f>IF(Q$3&lt;=CurMonth,Actuals!P10,IF($E10="Attainment",Budget!P10*$X10,IF($E10="Run-rate",$Y10,Budget!P10)))</f>
        <v/>
      </c>
      <c r="R10" s="23">
        <f>SUM(F10:Q10)</f>
        <v/>
      </c>
      <c r="S10" s="23">
        <f>Budget!Q10</f>
        <v/>
      </c>
      <c r="T10" s="23">
        <f>IF($D10="Revenue",R10-S10,S10-R10)</f>
        <v/>
      </c>
      <c r="U10" s="24">
        <f>IF(S10=0,0,T10/ABS(S10))</f>
        <v/>
      </c>
      <c r="V10" s="23">
        <f>SUMPRODUCT(Actuals!$E10:$P10*(Budget!$E$3:$P$3&lt;=CurMonth))</f>
        <v/>
      </c>
      <c r="W10" s="23">
        <f>SUMPRODUCT(Budget!$E10:$P10*(Budget!$E$3:$P$3&lt;=CurMonth))</f>
        <v/>
      </c>
      <c r="X10" s="26">
        <f>IF(W10=0,1,V10/W10)</f>
        <v/>
      </c>
      <c r="Y10" s="23">
        <f>SUMPRODUCT(Actuals!$E10:$P10*(Budget!$E$3:$P$3&gt;CurMonth-3)*(Budget!$E$3:$P$3&lt;=CurMonth))/3</f>
        <v/>
      </c>
    </row>
    <row r="11">
      <c r="A11">
        <f>Budget!A11</f>
        <v/>
      </c>
      <c r="B11">
        <f>Budget!B11</f>
        <v/>
      </c>
      <c r="C11">
        <f>Budget!C11</f>
        <v/>
      </c>
      <c r="D11">
        <f>Budget!D11</f>
        <v/>
      </c>
      <c r="E11" s="25" t="inlineStr">
        <is>
          <t>Run-rate</t>
        </is>
      </c>
      <c r="F11" s="23">
        <f>IF(F$3&lt;=CurMonth,Actuals!E11,IF($E11="Attainment",Budget!E11*$X11,IF($E11="Run-rate",$Y11,Budget!E11)))</f>
        <v/>
      </c>
      <c r="G11" s="23">
        <f>IF(G$3&lt;=CurMonth,Actuals!F11,IF($E11="Attainment",Budget!F11*$X11,IF($E11="Run-rate",$Y11,Budget!F11)))</f>
        <v/>
      </c>
      <c r="H11" s="23">
        <f>IF(H$3&lt;=CurMonth,Actuals!G11,IF($E11="Attainment",Budget!G11*$X11,IF($E11="Run-rate",$Y11,Budget!G11)))</f>
        <v/>
      </c>
      <c r="I11" s="23">
        <f>IF(I$3&lt;=CurMonth,Actuals!H11,IF($E11="Attainment",Budget!H11*$X11,IF($E11="Run-rate",$Y11,Budget!H11)))</f>
        <v/>
      </c>
      <c r="J11" s="23">
        <f>IF(J$3&lt;=CurMonth,Actuals!I11,IF($E11="Attainment",Budget!I11*$X11,IF($E11="Run-rate",$Y11,Budget!I11)))</f>
        <v/>
      </c>
      <c r="K11" s="23">
        <f>IF(K$3&lt;=CurMonth,Actuals!J11,IF($E11="Attainment",Budget!J11*$X11,IF($E11="Run-rate",$Y11,Budget!J11)))</f>
        <v/>
      </c>
      <c r="L11" s="23">
        <f>IF(L$3&lt;=CurMonth,Actuals!K11,IF($E11="Attainment",Budget!K11*$X11,IF($E11="Run-rate",$Y11,Budget!K11)))</f>
        <v/>
      </c>
      <c r="M11" s="23">
        <f>IF(M$3&lt;=CurMonth,Actuals!L11,IF($E11="Attainment",Budget!L11*$X11,IF($E11="Run-rate",$Y11,Budget!L11)))</f>
        <v/>
      </c>
      <c r="N11" s="23">
        <f>IF(N$3&lt;=CurMonth,Actuals!M11,IF($E11="Attainment",Budget!M11*$X11,IF($E11="Run-rate",$Y11,Budget!M11)))</f>
        <v/>
      </c>
      <c r="O11" s="23">
        <f>IF(O$3&lt;=CurMonth,Actuals!N11,IF($E11="Attainment",Budget!N11*$X11,IF($E11="Run-rate",$Y11,Budget!N11)))</f>
        <v/>
      </c>
      <c r="P11" s="23">
        <f>IF(P$3&lt;=CurMonth,Actuals!O11,IF($E11="Attainment",Budget!O11*$X11,IF($E11="Run-rate",$Y11,Budget!O11)))</f>
        <v/>
      </c>
      <c r="Q11" s="23">
        <f>IF(Q$3&lt;=CurMonth,Actuals!P11,IF($E11="Attainment",Budget!P11*$X11,IF($E11="Run-rate",$Y11,Budget!P11)))</f>
        <v/>
      </c>
      <c r="R11" s="23">
        <f>SUM(F11:Q11)</f>
        <v/>
      </c>
      <c r="S11" s="23">
        <f>Budget!Q11</f>
        <v/>
      </c>
      <c r="T11" s="23">
        <f>IF($D11="Revenue",R11-S11,S11-R11)</f>
        <v/>
      </c>
      <c r="U11" s="24">
        <f>IF(S11=0,0,T11/ABS(S11))</f>
        <v/>
      </c>
      <c r="V11" s="23">
        <f>SUMPRODUCT(Actuals!$E11:$P11*(Budget!$E$3:$P$3&lt;=CurMonth))</f>
        <v/>
      </c>
      <c r="W11" s="23">
        <f>SUMPRODUCT(Budget!$E11:$P11*(Budget!$E$3:$P$3&lt;=CurMonth))</f>
        <v/>
      </c>
      <c r="X11" s="26">
        <f>IF(W11=0,1,V11/W11)</f>
        <v/>
      </c>
      <c r="Y11" s="23">
        <f>SUMPRODUCT(Actuals!$E11:$P11*(Budget!$E$3:$P$3&gt;CurMonth-3)*(Budget!$E$3:$P$3&lt;=CurMonth))/3</f>
        <v/>
      </c>
    </row>
    <row r="12">
      <c r="A12">
        <f>Budget!A12</f>
        <v/>
      </c>
      <c r="B12">
        <f>Budget!B12</f>
        <v/>
      </c>
      <c r="C12">
        <f>Budget!C12</f>
        <v/>
      </c>
      <c r="D12">
        <f>Budget!D12</f>
        <v/>
      </c>
      <c r="E12" s="25" t="inlineStr">
        <is>
          <t>Attainment</t>
        </is>
      </c>
      <c r="F12" s="23">
        <f>IF(F$3&lt;=CurMonth,Actuals!E12,IF($E12="Attainment",Budget!E12*$X12,IF($E12="Run-rate",$Y12,Budget!E12)))</f>
        <v/>
      </c>
      <c r="G12" s="23">
        <f>IF(G$3&lt;=CurMonth,Actuals!F12,IF($E12="Attainment",Budget!F12*$X12,IF($E12="Run-rate",$Y12,Budget!F12)))</f>
        <v/>
      </c>
      <c r="H12" s="23">
        <f>IF(H$3&lt;=CurMonth,Actuals!G12,IF($E12="Attainment",Budget!G12*$X12,IF($E12="Run-rate",$Y12,Budget!G12)))</f>
        <v/>
      </c>
      <c r="I12" s="23">
        <f>IF(I$3&lt;=CurMonth,Actuals!H12,IF($E12="Attainment",Budget!H12*$X12,IF($E12="Run-rate",$Y12,Budget!H12)))</f>
        <v/>
      </c>
      <c r="J12" s="23">
        <f>IF(J$3&lt;=CurMonth,Actuals!I12,IF($E12="Attainment",Budget!I12*$X12,IF($E12="Run-rate",$Y12,Budget!I12)))</f>
        <v/>
      </c>
      <c r="K12" s="23">
        <f>IF(K$3&lt;=CurMonth,Actuals!J12,IF($E12="Attainment",Budget!J12*$X12,IF($E12="Run-rate",$Y12,Budget!J12)))</f>
        <v/>
      </c>
      <c r="L12" s="23">
        <f>IF(L$3&lt;=CurMonth,Actuals!K12,IF($E12="Attainment",Budget!K12*$X12,IF($E12="Run-rate",$Y12,Budget!K12)))</f>
        <v/>
      </c>
      <c r="M12" s="23">
        <f>IF(M$3&lt;=CurMonth,Actuals!L12,IF($E12="Attainment",Budget!L12*$X12,IF($E12="Run-rate",$Y12,Budget!L12)))</f>
        <v/>
      </c>
      <c r="N12" s="23">
        <f>IF(N$3&lt;=CurMonth,Actuals!M12,IF($E12="Attainment",Budget!M12*$X12,IF($E12="Run-rate",$Y12,Budget!M12)))</f>
        <v/>
      </c>
      <c r="O12" s="23">
        <f>IF(O$3&lt;=CurMonth,Actuals!N12,IF($E12="Attainment",Budget!N12*$X12,IF($E12="Run-rate",$Y12,Budget!N12)))</f>
        <v/>
      </c>
      <c r="P12" s="23">
        <f>IF(P$3&lt;=CurMonth,Actuals!O12,IF($E12="Attainment",Budget!O12*$X12,IF($E12="Run-rate",$Y12,Budget!O12)))</f>
        <v/>
      </c>
      <c r="Q12" s="23">
        <f>IF(Q$3&lt;=CurMonth,Actuals!P12,IF($E12="Attainment",Budget!P12*$X12,IF($E12="Run-rate",$Y12,Budget!P12)))</f>
        <v/>
      </c>
      <c r="R12" s="23">
        <f>SUM(F12:Q12)</f>
        <v/>
      </c>
      <c r="S12" s="23">
        <f>Budget!Q12</f>
        <v/>
      </c>
      <c r="T12" s="23">
        <f>IF($D12="Revenue",R12-S12,S12-R12)</f>
        <v/>
      </c>
      <c r="U12" s="24">
        <f>IF(S12=0,0,T12/ABS(S12))</f>
        <v/>
      </c>
      <c r="V12" s="23">
        <f>SUMPRODUCT(Actuals!$E12:$P12*(Budget!$E$3:$P$3&lt;=CurMonth))</f>
        <v/>
      </c>
      <c r="W12" s="23">
        <f>SUMPRODUCT(Budget!$E12:$P12*(Budget!$E$3:$P$3&lt;=CurMonth))</f>
        <v/>
      </c>
      <c r="X12" s="26">
        <f>IF(W12=0,1,V12/W12)</f>
        <v/>
      </c>
      <c r="Y12" s="23">
        <f>SUMPRODUCT(Actuals!$E12:$P12*(Budget!$E$3:$P$3&gt;CurMonth-3)*(Budget!$E$3:$P$3&lt;=CurMonth))/3</f>
        <v/>
      </c>
    </row>
    <row r="13">
      <c r="A13">
        <f>Budget!A13</f>
        <v/>
      </c>
      <c r="B13">
        <f>Budget!B13</f>
        <v/>
      </c>
      <c r="C13">
        <f>Budget!C13</f>
        <v/>
      </c>
      <c r="D13">
        <f>Budget!D13</f>
        <v/>
      </c>
      <c r="E13" s="25" t="inlineStr">
        <is>
          <t>Run-rate</t>
        </is>
      </c>
      <c r="F13" s="23">
        <f>IF(F$3&lt;=CurMonth,Actuals!E13,IF($E13="Attainment",Budget!E13*$X13,IF($E13="Run-rate",$Y13,Budget!E13)))</f>
        <v/>
      </c>
      <c r="G13" s="23">
        <f>IF(G$3&lt;=CurMonth,Actuals!F13,IF($E13="Attainment",Budget!F13*$X13,IF($E13="Run-rate",$Y13,Budget!F13)))</f>
        <v/>
      </c>
      <c r="H13" s="23">
        <f>IF(H$3&lt;=CurMonth,Actuals!G13,IF($E13="Attainment",Budget!G13*$X13,IF($E13="Run-rate",$Y13,Budget!G13)))</f>
        <v/>
      </c>
      <c r="I13" s="23">
        <f>IF(I$3&lt;=CurMonth,Actuals!H13,IF($E13="Attainment",Budget!H13*$X13,IF($E13="Run-rate",$Y13,Budget!H13)))</f>
        <v/>
      </c>
      <c r="J13" s="23">
        <f>IF(J$3&lt;=CurMonth,Actuals!I13,IF($E13="Attainment",Budget!I13*$X13,IF($E13="Run-rate",$Y13,Budget!I13)))</f>
        <v/>
      </c>
      <c r="K13" s="23">
        <f>IF(K$3&lt;=CurMonth,Actuals!J13,IF($E13="Attainment",Budget!J13*$X13,IF($E13="Run-rate",$Y13,Budget!J13)))</f>
        <v/>
      </c>
      <c r="L13" s="23">
        <f>IF(L$3&lt;=CurMonth,Actuals!K13,IF($E13="Attainment",Budget!K13*$X13,IF($E13="Run-rate",$Y13,Budget!K13)))</f>
        <v/>
      </c>
      <c r="M13" s="23">
        <f>IF(M$3&lt;=CurMonth,Actuals!L13,IF($E13="Attainment",Budget!L13*$X13,IF($E13="Run-rate",$Y13,Budget!L13)))</f>
        <v/>
      </c>
      <c r="N13" s="23">
        <f>IF(N$3&lt;=CurMonth,Actuals!M13,IF($E13="Attainment",Budget!M13*$X13,IF($E13="Run-rate",$Y13,Budget!M13)))</f>
        <v/>
      </c>
      <c r="O13" s="23">
        <f>IF(O$3&lt;=CurMonth,Actuals!N13,IF($E13="Attainment",Budget!N13*$X13,IF($E13="Run-rate",$Y13,Budget!N13)))</f>
        <v/>
      </c>
      <c r="P13" s="23">
        <f>IF(P$3&lt;=CurMonth,Actuals!O13,IF($E13="Attainment",Budget!O13*$X13,IF($E13="Run-rate",$Y13,Budget!O13)))</f>
        <v/>
      </c>
      <c r="Q13" s="23">
        <f>IF(Q$3&lt;=CurMonth,Actuals!P13,IF($E13="Attainment",Budget!P13*$X13,IF($E13="Run-rate",$Y13,Budget!P13)))</f>
        <v/>
      </c>
      <c r="R13" s="23">
        <f>SUM(F13:Q13)</f>
        <v/>
      </c>
      <c r="S13" s="23">
        <f>Budget!Q13</f>
        <v/>
      </c>
      <c r="T13" s="23">
        <f>IF($D13="Revenue",R13-S13,S13-R13)</f>
        <v/>
      </c>
      <c r="U13" s="24">
        <f>IF(S13=0,0,T13/ABS(S13))</f>
        <v/>
      </c>
      <c r="V13" s="23">
        <f>SUMPRODUCT(Actuals!$E13:$P13*(Budget!$E$3:$P$3&lt;=CurMonth))</f>
        <v/>
      </c>
      <c r="W13" s="23">
        <f>SUMPRODUCT(Budget!$E13:$P13*(Budget!$E$3:$P$3&lt;=CurMonth))</f>
        <v/>
      </c>
      <c r="X13" s="26">
        <f>IF(W13=0,1,V13/W13)</f>
        <v/>
      </c>
      <c r="Y13" s="23">
        <f>SUMPRODUCT(Actuals!$E13:$P13*(Budget!$E$3:$P$3&gt;CurMonth-3)*(Budget!$E$3:$P$3&lt;=CurMonth))/3</f>
        <v/>
      </c>
    </row>
    <row r="14">
      <c r="A14">
        <f>Budget!A14</f>
        <v/>
      </c>
      <c r="B14">
        <f>Budget!B14</f>
        <v/>
      </c>
      <c r="C14">
        <f>Budget!C14</f>
        <v/>
      </c>
      <c r="D14">
        <f>Budget!D14</f>
        <v/>
      </c>
      <c r="E14" s="25" t="inlineStr">
        <is>
          <t>Run-rate</t>
        </is>
      </c>
      <c r="F14" s="23">
        <f>IF(F$3&lt;=CurMonth,Actuals!E14,IF($E14="Attainment",Budget!E14*$X14,IF($E14="Run-rate",$Y14,Budget!E14)))</f>
        <v/>
      </c>
      <c r="G14" s="23">
        <f>IF(G$3&lt;=CurMonth,Actuals!F14,IF($E14="Attainment",Budget!F14*$X14,IF($E14="Run-rate",$Y14,Budget!F14)))</f>
        <v/>
      </c>
      <c r="H14" s="23">
        <f>IF(H$3&lt;=CurMonth,Actuals!G14,IF($E14="Attainment",Budget!G14*$X14,IF($E14="Run-rate",$Y14,Budget!G14)))</f>
        <v/>
      </c>
      <c r="I14" s="23">
        <f>IF(I$3&lt;=CurMonth,Actuals!H14,IF($E14="Attainment",Budget!H14*$X14,IF($E14="Run-rate",$Y14,Budget!H14)))</f>
        <v/>
      </c>
      <c r="J14" s="23">
        <f>IF(J$3&lt;=CurMonth,Actuals!I14,IF($E14="Attainment",Budget!I14*$X14,IF($E14="Run-rate",$Y14,Budget!I14)))</f>
        <v/>
      </c>
      <c r="K14" s="23">
        <f>IF(K$3&lt;=CurMonth,Actuals!J14,IF($E14="Attainment",Budget!J14*$X14,IF($E14="Run-rate",$Y14,Budget!J14)))</f>
        <v/>
      </c>
      <c r="L14" s="23">
        <f>IF(L$3&lt;=CurMonth,Actuals!K14,IF($E14="Attainment",Budget!K14*$X14,IF($E14="Run-rate",$Y14,Budget!K14)))</f>
        <v/>
      </c>
      <c r="M14" s="23">
        <f>IF(M$3&lt;=CurMonth,Actuals!L14,IF($E14="Attainment",Budget!L14*$X14,IF($E14="Run-rate",$Y14,Budget!L14)))</f>
        <v/>
      </c>
      <c r="N14" s="23">
        <f>IF(N$3&lt;=CurMonth,Actuals!M14,IF($E14="Attainment",Budget!M14*$X14,IF($E14="Run-rate",$Y14,Budget!M14)))</f>
        <v/>
      </c>
      <c r="O14" s="23">
        <f>IF(O$3&lt;=CurMonth,Actuals!N14,IF($E14="Attainment",Budget!N14*$X14,IF($E14="Run-rate",$Y14,Budget!N14)))</f>
        <v/>
      </c>
      <c r="P14" s="23">
        <f>IF(P$3&lt;=CurMonth,Actuals!O14,IF($E14="Attainment",Budget!O14*$X14,IF($E14="Run-rate",$Y14,Budget!O14)))</f>
        <v/>
      </c>
      <c r="Q14" s="23">
        <f>IF(Q$3&lt;=CurMonth,Actuals!P14,IF($E14="Attainment",Budget!P14*$X14,IF($E14="Run-rate",$Y14,Budget!P14)))</f>
        <v/>
      </c>
      <c r="R14" s="23">
        <f>SUM(F14:Q14)</f>
        <v/>
      </c>
      <c r="S14" s="23">
        <f>Budget!Q14</f>
        <v/>
      </c>
      <c r="T14" s="23">
        <f>IF($D14="Revenue",R14-S14,S14-R14)</f>
        <v/>
      </c>
      <c r="U14" s="24">
        <f>IF(S14=0,0,T14/ABS(S14))</f>
        <v/>
      </c>
      <c r="V14" s="23">
        <f>SUMPRODUCT(Actuals!$E14:$P14*(Budget!$E$3:$P$3&lt;=CurMonth))</f>
        <v/>
      </c>
      <c r="W14" s="23">
        <f>SUMPRODUCT(Budget!$E14:$P14*(Budget!$E$3:$P$3&lt;=CurMonth))</f>
        <v/>
      </c>
      <c r="X14" s="26">
        <f>IF(W14=0,1,V14/W14)</f>
        <v/>
      </c>
      <c r="Y14" s="23">
        <f>SUMPRODUCT(Actuals!$E14:$P14*(Budget!$E$3:$P$3&gt;CurMonth-3)*(Budget!$E$3:$P$3&lt;=CurMonth))/3</f>
        <v/>
      </c>
    </row>
    <row r="15">
      <c r="A15">
        <f>Budget!A15</f>
        <v/>
      </c>
      <c r="B15">
        <f>Budget!B15</f>
        <v/>
      </c>
      <c r="C15">
        <f>Budget!C15</f>
        <v/>
      </c>
      <c r="D15">
        <f>Budget!D15</f>
        <v/>
      </c>
      <c r="E15" s="25" t="inlineStr">
        <is>
          <t>Run-rate</t>
        </is>
      </c>
      <c r="F15" s="23">
        <f>IF(F$3&lt;=CurMonth,Actuals!E15,IF($E15="Attainment",Budget!E15*$X15,IF($E15="Run-rate",$Y15,Budget!E15)))</f>
        <v/>
      </c>
      <c r="G15" s="23">
        <f>IF(G$3&lt;=CurMonth,Actuals!F15,IF($E15="Attainment",Budget!F15*$X15,IF($E15="Run-rate",$Y15,Budget!F15)))</f>
        <v/>
      </c>
      <c r="H15" s="23">
        <f>IF(H$3&lt;=CurMonth,Actuals!G15,IF($E15="Attainment",Budget!G15*$X15,IF($E15="Run-rate",$Y15,Budget!G15)))</f>
        <v/>
      </c>
      <c r="I15" s="23">
        <f>IF(I$3&lt;=CurMonth,Actuals!H15,IF($E15="Attainment",Budget!H15*$X15,IF($E15="Run-rate",$Y15,Budget!H15)))</f>
        <v/>
      </c>
      <c r="J15" s="23">
        <f>IF(J$3&lt;=CurMonth,Actuals!I15,IF($E15="Attainment",Budget!I15*$X15,IF($E15="Run-rate",$Y15,Budget!I15)))</f>
        <v/>
      </c>
      <c r="K15" s="23">
        <f>IF(K$3&lt;=CurMonth,Actuals!J15,IF($E15="Attainment",Budget!J15*$X15,IF($E15="Run-rate",$Y15,Budget!J15)))</f>
        <v/>
      </c>
      <c r="L15" s="23">
        <f>IF(L$3&lt;=CurMonth,Actuals!K15,IF($E15="Attainment",Budget!K15*$X15,IF($E15="Run-rate",$Y15,Budget!K15)))</f>
        <v/>
      </c>
      <c r="M15" s="23">
        <f>IF(M$3&lt;=CurMonth,Actuals!L15,IF($E15="Attainment",Budget!L15*$X15,IF($E15="Run-rate",$Y15,Budget!L15)))</f>
        <v/>
      </c>
      <c r="N15" s="23">
        <f>IF(N$3&lt;=CurMonth,Actuals!M15,IF($E15="Attainment",Budget!M15*$X15,IF($E15="Run-rate",$Y15,Budget!M15)))</f>
        <v/>
      </c>
      <c r="O15" s="23">
        <f>IF(O$3&lt;=CurMonth,Actuals!N15,IF($E15="Attainment",Budget!N15*$X15,IF($E15="Run-rate",$Y15,Budget!N15)))</f>
        <v/>
      </c>
      <c r="P15" s="23">
        <f>IF(P$3&lt;=CurMonth,Actuals!O15,IF($E15="Attainment",Budget!O15*$X15,IF($E15="Run-rate",$Y15,Budget!O15)))</f>
        <v/>
      </c>
      <c r="Q15" s="23">
        <f>IF(Q$3&lt;=CurMonth,Actuals!P15,IF($E15="Attainment",Budget!P15*$X15,IF($E15="Run-rate",$Y15,Budget!P15)))</f>
        <v/>
      </c>
      <c r="R15" s="23">
        <f>SUM(F15:Q15)</f>
        <v/>
      </c>
      <c r="S15" s="23">
        <f>Budget!Q15</f>
        <v/>
      </c>
      <c r="T15" s="23">
        <f>IF($D15="Revenue",R15-S15,S15-R15)</f>
        <v/>
      </c>
      <c r="U15" s="24">
        <f>IF(S15=0,0,T15/ABS(S15))</f>
        <v/>
      </c>
      <c r="V15" s="23">
        <f>SUMPRODUCT(Actuals!$E15:$P15*(Budget!$E$3:$P$3&lt;=CurMonth))</f>
        <v/>
      </c>
      <c r="W15" s="23">
        <f>SUMPRODUCT(Budget!$E15:$P15*(Budget!$E$3:$P$3&lt;=CurMonth))</f>
        <v/>
      </c>
      <c r="X15" s="26">
        <f>IF(W15=0,1,V15/W15)</f>
        <v/>
      </c>
      <c r="Y15" s="23">
        <f>SUMPRODUCT(Actuals!$E15:$P15*(Budget!$E$3:$P$3&gt;CurMonth-3)*(Budget!$E$3:$P$3&lt;=CurMonth))/3</f>
        <v/>
      </c>
    </row>
    <row r="16">
      <c r="A16">
        <f>Budget!A16</f>
        <v/>
      </c>
      <c r="B16">
        <f>Budget!B16</f>
        <v/>
      </c>
      <c r="C16">
        <f>Budget!C16</f>
        <v/>
      </c>
      <c r="D16">
        <f>Budget!D16</f>
        <v/>
      </c>
      <c r="E16" s="25" t="inlineStr">
        <is>
          <t>Budget</t>
        </is>
      </c>
      <c r="F16" s="23">
        <f>IF(F$3&lt;=CurMonth,Actuals!E16,IF($E16="Attainment",Budget!E16*$X16,IF($E16="Run-rate",$Y16,Budget!E16)))</f>
        <v/>
      </c>
      <c r="G16" s="23">
        <f>IF(G$3&lt;=CurMonth,Actuals!F16,IF($E16="Attainment",Budget!F16*$X16,IF($E16="Run-rate",$Y16,Budget!F16)))</f>
        <v/>
      </c>
      <c r="H16" s="23">
        <f>IF(H$3&lt;=CurMonth,Actuals!G16,IF($E16="Attainment",Budget!G16*$X16,IF($E16="Run-rate",$Y16,Budget!G16)))</f>
        <v/>
      </c>
      <c r="I16" s="23">
        <f>IF(I$3&lt;=CurMonth,Actuals!H16,IF($E16="Attainment",Budget!H16*$X16,IF($E16="Run-rate",$Y16,Budget!H16)))</f>
        <v/>
      </c>
      <c r="J16" s="23">
        <f>IF(J$3&lt;=CurMonth,Actuals!I16,IF($E16="Attainment",Budget!I16*$X16,IF($E16="Run-rate",$Y16,Budget!I16)))</f>
        <v/>
      </c>
      <c r="K16" s="23">
        <f>IF(K$3&lt;=CurMonth,Actuals!J16,IF($E16="Attainment",Budget!J16*$X16,IF($E16="Run-rate",$Y16,Budget!J16)))</f>
        <v/>
      </c>
      <c r="L16" s="23">
        <f>IF(L$3&lt;=CurMonth,Actuals!K16,IF($E16="Attainment",Budget!K16*$X16,IF($E16="Run-rate",$Y16,Budget!K16)))</f>
        <v/>
      </c>
      <c r="M16" s="23">
        <f>IF(M$3&lt;=CurMonth,Actuals!L16,IF($E16="Attainment",Budget!L16*$X16,IF($E16="Run-rate",$Y16,Budget!L16)))</f>
        <v/>
      </c>
      <c r="N16" s="23">
        <f>IF(N$3&lt;=CurMonth,Actuals!M16,IF($E16="Attainment",Budget!M16*$X16,IF($E16="Run-rate",$Y16,Budget!M16)))</f>
        <v/>
      </c>
      <c r="O16" s="23">
        <f>IF(O$3&lt;=CurMonth,Actuals!N16,IF($E16="Attainment",Budget!N16*$X16,IF($E16="Run-rate",$Y16,Budget!N16)))</f>
        <v/>
      </c>
      <c r="P16" s="23">
        <f>IF(P$3&lt;=CurMonth,Actuals!O16,IF($E16="Attainment",Budget!O16*$X16,IF($E16="Run-rate",$Y16,Budget!O16)))</f>
        <v/>
      </c>
      <c r="Q16" s="23">
        <f>IF(Q$3&lt;=CurMonth,Actuals!P16,IF($E16="Attainment",Budget!P16*$X16,IF($E16="Run-rate",$Y16,Budget!P16)))</f>
        <v/>
      </c>
      <c r="R16" s="23">
        <f>SUM(F16:Q16)</f>
        <v/>
      </c>
      <c r="S16" s="23">
        <f>Budget!Q16</f>
        <v/>
      </c>
      <c r="T16" s="23">
        <f>IF($D16="Revenue",R16-S16,S16-R16)</f>
        <v/>
      </c>
      <c r="U16" s="24">
        <f>IF(S16=0,0,T16/ABS(S16))</f>
        <v/>
      </c>
      <c r="V16" s="23">
        <f>SUMPRODUCT(Actuals!$E16:$P16*(Budget!$E$3:$P$3&lt;=CurMonth))</f>
        <v/>
      </c>
      <c r="W16" s="23">
        <f>SUMPRODUCT(Budget!$E16:$P16*(Budget!$E$3:$P$3&lt;=CurMonth))</f>
        <v/>
      </c>
      <c r="X16" s="26">
        <f>IF(W16=0,1,V16/W16)</f>
        <v/>
      </c>
      <c r="Y16" s="23">
        <f>SUMPRODUCT(Actuals!$E16:$P16*(Budget!$E$3:$P$3&gt;CurMonth-3)*(Budget!$E$3:$P$3&lt;=CurMonth))/3</f>
        <v/>
      </c>
    </row>
    <row r="17">
      <c r="A17">
        <f>Budget!A17</f>
        <v/>
      </c>
      <c r="B17">
        <f>Budget!B17</f>
        <v/>
      </c>
      <c r="C17">
        <f>Budget!C17</f>
        <v/>
      </c>
      <c r="D17">
        <f>Budget!D17</f>
        <v/>
      </c>
      <c r="E17" s="25" t="inlineStr">
        <is>
          <t>Run-rate</t>
        </is>
      </c>
      <c r="F17" s="23">
        <f>IF(F$3&lt;=CurMonth,Actuals!E17,IF($E17="Attainment",Budget!E17*$X17,IF($E17="Run-rate",$Y17,Budget!E17)))</f>
        <v/>
      </c>
      <c r="G17" s="23">
        <f>IF(G$3&lt;=CurMonth,Actuals!F17,IF($E17="Attainment",Budget!F17*$X17,IF($E17="Run-rate",$Y17,Budget!F17)))</f>
        <v/>
      </c>
      <c r="H17" s="23">
        <f>IF(H$3&lt;=CurMonth,Actuals!G17,IF($E17="Attainment",Budget!G17*$X17,IF($E17="Run-rate",$Y17,Budget!G17)))</f>
        <v/>
      </c>
      <c r="I17" s="23">
        <f>IF(I$3&lt;=CurMonth,Actuals!H17,IF($E17="Attainment",Budget!H17*$X17,IF($E17="Run-rate",$Y17,Budget!H17)))</f>
        <v/>
      </c>
      <c r="J17" s="23">
        <f>IF(J$3&lt;=CurMonth,Actuals!I17,IF($E17="Attainment",Budget!I17*$X17,IF($E17="Run-rate",$Y17,Budget!I17)))</f>
        <v/>
      </c>
      <c r="K17" s="23">
        <f>IF(K$3&lt;=CurMonth,Actuals!J17,IF($E17="Attainment",Budget!J17*$X17,IF($E17="Run-rate",$Y17,Budget!J17)))</f>
        <v/>
      </c>
      <c r="L17" s="23">
        <f>IF(L$3&lt;=CurMonth,Actuals!K17,IF($E17="Attainment",Budget!K17*$X17,IF($E17="Run-rate",$Y17,Budget!K17)))</f>
        <v/>
      </c>
      <c r="M17" s="23">
        <f>IF(M$3&lt;=CurMonth,Actuals!L17,IF($E17="Attainment",Budget!L17*$X17,IF($E17="Run-rate",$Y17,Budget!L17)))</f>
        <v/>
      </c>
      <c r="N17" s="23">
        <f>IF(N$3&lt;=CurMonth,Actuals!M17,IF($E17="Attainment",Budget!M17*$X17,IF($E17="Run-rate",$Y17,Budget!M17)))</f>
        <v/>
      </c>
      <c r="O17" s="23">
        <f>IF(O$3&lt;=CurMonth,Actuals!N17,IF($E17="Attainment",Budget!N17*$X17,IF($E17="Run-rate",$Y17,Budget!N17)))</f>
        <v/>
      </c>
      <c r="P17" s="23">
        <f>IF(P$3&lt;=CurMonth,Actuals!O17,IF($E17="Attainment",Budget!O17*$X17,IF($E17="Run-rate",$Y17,Budget!O17)))</f>
        <v/>
      </c>
      <c r="Q17" s="23">
        <f>IF(Q$3&lt;=CurMonth,Actuals!P17,IF($E17="Attainment",Budget!P17*$X17,IF($E17="Run-rate",$Y17,Budget!P17)))</f>
        <v/>
      </c>
      <c r="R17" s="23">
        <f>SUM(F17:Q17)</f>
        <v/>
      </c>
      <c r="S17" s="23">
        <f>Budget!Q17</f>
        <v/>
      </c>
      <c r="T17" s="23">
        <f>IF($D17="Revenue",R17-S17,S17-R17)</f>
        <v/>
      </c>
      <c r="U17" s="24">
        <f>IF(S17=0,0,T17/ABS(S17))</f>
        <v/>
      </c>
      <c r="V17" s="23">
        <f>SUMPRODUCT(Actuals!$E17:$P17*(Budget!$E$3:$P$3&lt;=CurMonth))</f>
        <v/>
      </c>
      <c r="W17" s="23">
        <f>SUMPRODUCT(Budget!$E17:$P17*(Budget!$E$3:$P$3&lt;=CurMonth))</f>
        <v/>
      </c>
      <c r="X17" s="26">
        <f>IF(W17=0,1,V17/W17)</f>
        <v/>
      </c>
      <c r="Y17" s="23">
        <f>SUMPRODUCT(Actuals!$E17:$P17*(Budget!$E$3:$P$3&gt;CurMonth-3)*(Budget!$E$3:$P$3&lt;=CurMonth))/3</f>
        <v/>
      </c>
    </row>
    <row r="18">
      <c r="A18">
        <f>Budget!A18</f>
        <v/>
      </c>
      <c r="B18">
        <f>Budget!B18</f>
        <v/>
      </c>
      <c r="C18">
        <f>Budget!C18</f>
        <v/>
      </c>
      <c r="D18">
        <f>Budget!D18</f>
        <v/>
      </c>
      <c r="E18" s="25" t="inlineStr">
        <is>
          <t>Run-rate</t>
        </is>
      </c>
      <c r="F18" s="23">
        <f>IF(F$3&lt;=CurMonth,Actuals!E18,IF($E18="Attainment",Budget!E18*$X18,IF($E18="Run-rate",$Y18,Budget!E18)))</f>
        <v/>
      </c>
      <c r="G18" s="23">
        <f>IF(G$3&lt;=CurMonth,Actuals!F18,IF($E18="Attainment",Budget!F18*$X18,IF($E18="Run-rate",$Y18,Budget!F18)))</f>
        <v/>
      </c>
      <c r="H18" s="23">
        <f>IF(H$3&lt;=CurMonth,Actuals!G18,IF($E18="Attainment",Budget!G18*$X18,IF($E18="Run-rate",$Y18,Budget!G18)))</f>
        <v/>
      </c>
      <c r="I18" s="23">
        <f>IF(I$3&lt;=CurMonth,Actuals!H18,IF($E18="Attainment",Budget!H18*$X18,IF($E18="Run-rate",$Y18,Budget!H18)))</f>
        <v/>
      </c>
      <c r="J18" s="23">
        <f>IF(J$3&lt;=CurMonth,Actuals!I18,IF($E18="Attainment",Budget!I18*$X18,IF($E18="Run-rate",$Y18,Budget!I18)))</f>
        <v/>
      </c>
      <c r="K18" s="23">
        <f>IF(K$3&lt;=CurMonth,Actuals!J18,IF($E18="Attainment",Budget!J18*$X18,IF($E18="Run-rate",$Y18,Budget!J18)))</f>
        <v/>
      </c>
      <c r="L18" s="23">
        <f>IF(L$3&lt;=CurMonth,Actuals!K18,IF($E18="Attainment",Budget!K18*$X18,IF($E18="Run-rate",$Y18,Budget!K18)))</f>
        <v/>
      </c>
      <c r="M18" s="23">
        <f>IF(M$3&lt;=CurMonth,Actuals!L18,IF($E18="Attainment",Budget!L18*$X18,IF($E18="Run-rate",$Y18,Budget!L18)))</f>
        <v/>
      </c>
      <c r="N18" s="23">
        <f>IF(N$3&lt;=CurMonth,Actuals!M18,IF($E18="Attainment",Budget!M18*$X18,IF($E18="Run-rate",$Y18,Budget!M18)))</f>
        <v/>
      </c>
      <c r="O18" s="23">
        <f>IF(O$3&lt;=CurMonth,Actuals!N18,IF($E18="Attainment",Budget!N18*$X18,IF($E18="Run-rate",$Y18,Budget!N18)))</f>
        <v/>
      </c>
      <c r="P18" s="23">
        <f>IF(P$3&lt;=CurMonth,Actuals!O18,IF($E18="Attainment",Budget!O18*$X18,IF($E18="Run-rate",$Y18,Budget!O18)))</f>
        <v/>
      </c>
      <c r="Q18" s="23">
        <f>IF(Q$3&lt;=CurMonth,Actuals!P18,IF($E18="Attainment",Budget!P18*$X18,IF($E18="Run-rate",$Y18,Budget!P18)))</f>
        <v/>
      </c>
      <c r="R18" s="23">
        <f>SUM(F18:Q18)</f>
        <v/>
      </c>
      <c r="S18" s="23">
        <f>Budget!Q18</f>
        <v/>
      </c>
      <c r="T18" s="23">
        <f>IF($D18="Revenue",R18-S18,S18-R18)</f>
        <v/>
      </c>
      <c r="U18" s="24">
        <f>IF(S18=0,0,T18/ABS(S18))</f>
        <v/>
      </c>
      <c r="V18" s="23">
        <f>SUMPRODUCT(Actuals!$E18:$P18*(Budget!$E$3:$P$3&lt;=CurMonth))</f>
        <v/>
      </c>
      <c r="W18" s="23">
        <f>SUMPRODUCT(Budget!$E18:$P18*(Budget!$E$3:$P$3&lt;=CurMonth))</f>
        <v/>
      </c>
      <c r="X18" s="26">
        <f>IF(W18=0,1,V18/W18)</f>
        <v/>
      </c>
      <c r="Y18" s="23">
        <f>SUMPRODUCT(Actuals!$E18:$P18*(Budget!$E$3:$P$3&gt;CurMonth-3)*(Budget!$E$3:$P$3&lt;=CurMonth))/3</f>
        <v/>
      </c>
    </row>
    <row r="19">
      <c r="A19">
        <f>Budget!A19</f>
        <v/>
      </c>
      <c r="B19">
        <f>Budget!B19</f>
        <v/>
      </c>
      <c r="C19">
        <f>Budget!C19</f>
        <v/>
      </c>
      <c r="D19">
        <f>Budget!D19</f>
        <v/>
      </c>
      <c r="E19" s="25" t="inlineStr">
        <is>
          <t>Run-rate</t>
        </is>
      </c>
      <c r="F19" s="23">
        <f>IF(F$3&lt;=CurMonth,Actuals!E19,IF($E19="Attainment",Budget!E19*$X19,IF($E19="Run-rate",$Y19,Budget!E19)))</f>
        <v/>
      </c>
      <c r="G19" s="23">
        <f>IF(G$3&lt;=CurMonth,Actuals!F19,IF($E19="Attainment",Budget!F19*$X19,IF($E19="Run-rate",$Y19,Budget!F19)))</f>
        <v/>
      </c>
      <c r="H19" s="23">
        <f>IF(H$3&lt;=CurMonth,Actuals!G19,IF($E19="Attainment",Budget!G19*$X19,IF($E19="Run-rate",$Y19,Budget!G19)))</f>
        <v/>
      </c>
      <c r="I19" s="23">
        <f>IF(I$3&lt;=CurMonth,Actuals!H19,IF($E19="Attainment",Budget!H19*$X19,IF($E19="Run-rate",$Y19,Budget!H19)))</f>
        <v/>
      </c>
      <c r="J19" s="23">
        <f>IF(J$3&lt;=CurMonth,Actuals!I19,IF($E19="Attainment",Budget!I19*$X19,IF($E19="Run-rate",$Y19,Budget!I19)))</f>
        <v/>
      </c>
      <c r="K19" s="23">
        <f>IF(K$3&lt;=CurMonth,Actuals!J19,IF($E19="Attainment",Budget!J19*$X19,IF($E19="Run-rate",$Y19,Budget!J19)))</f>
        <v/>
      </c>
      <c r="L19" s="23">
        <f>IF(L$3&lt;=CurMonth,Actuals!K19,IF($E19="Attainment",Budget!K19*$X19,IF($E19="Run-rate",$Y19,Budget!K19)))</f>
        <v/>
      </c>
      <c r="M19" s="23">
        <f>IF(M$3&lt;=CurMonth,Actuals!L19,IF($E19="Attainment",Budget!L19*$X19,IF($E19="Run-rate",$Y19,Budget!L19)))</f>
        <v/>
      </c>
      <c r="N19" s="23">
        <f>IF(N$3&lt;=CurMonth,Actuals!M19,IF($E19="Attainment",Budget!M19*$X19,IF($E19="Run-rate",$Y19,Budget!M19)))</f>
        <v/>
      </c>
      <c r="O19" s="23">
        <f>IF(O$3&lt;=CurMonth,Actuals!N19,IF($E19="Attainment",Budget!N19*$X19,IF($E19="Run-rate",$Y19,Budget!N19)))</f>
        <v/>
      </c>
      <c r="P19" s="23">
        <f>IF(P$3&lt;=CurMonth,Actuals!O19,IF($E19="Attainment",Budget!O19*$X19,IF($E19="Run-rate",$Y19,Budget!O19)))</f>
        <v/>
      </c>
      <c r="Q19" s="23">
        <f>IF(Q$3&lt;=CurMonth,Actuals!P19,IF($E19="Attainment",Budget!P19*$X19,IF($E19="Run-rate",$Y19,Budget!P19)))</f>
        <v/>
      </c>
      <c r="R19" s="23">
        <f>SUM(F19:Q19)</f>
        <v/>
      </c>
      <c r="S19" s="23">
        <f>Budget!Q19</f>
        <v/>
      </c>
      <c r="T19" s="23">
        <f>IF($D19="Revenue",R19-S19,S19-R19)</f>
        <v/>
      </c>
      <c r="U19" s="24">
        <f>IF(S19=0,0,T19/ABS(S19))</f>
        <v/>
      </c>
      <c r="V19" s="23">
        <f>SUMPRODUCT(Actuals!$E19:$P19*(Budget!$E$3:$P$3&lt;=CurMonth))</f>
        <v/>
      </c>
      <c r="W19" s="23">
        <f>SUMPRODUCT(Budget!$E19:$P19*(Budget!$E$3:$P$3&lt;=CurMonth))</f>
        <v/>
      </c>
      <c r="X19" s="26">
        <f>IF(W19=0,1,V19/W19)</f>
        <v/>
      </c>
      <c r="Y19" s="23">
        <f>SUMPRODUCT(Actuals!$E19:$P19*(Budget!$E$3:$P$3&gt;CurMonth-3)*(Budget!$E$3:$P$3&lt;=CurMonth))/3</f>
        <v/>
      </c>
    </row>
    <row r="20">
      <c r="A20">
        <f>Budget!A20</f>
        <v/>
      </c>
      <c r="B20">
        <f>Budget!B20</f>
        <v/>
      </c>
      <c r="C20">
        <f>Budget!C20</f>
        <v/>
      </c>
      <c r="D20">
        <f>Budget!D20</f>
        <v/>
      </c>
      <c r="E20" s="25" t="inlineStr">
        <is>
          <t>Run-rate</t>
        </is>
      </c>
      <c r="F20" s="23">
        <f>IF(F$3&lt;=CurMonth,Actuals!E20,IF($E20="Attainment",Budget!E20*$X20,IF($E20="Run-rate",$Y20,Budget!E20)))</f>
        <v/>
      </c>
      <c r="G20" s="23">
        <f>IF(G$3&lt;=CurMonth,Actuals!F20,IF($E20="Attainment",Budget!F20*$X20,IF($E20="Run-rate",$Y20,Budget!F20)))</f>
        <v/>
      </c>
      <c r="H20" s="23">
        <f>IF(H$3&lt;=CurMonth,Actuals!G20,IF($E20="Attainment",Budget!G20*$X20,IF($E20="Run-rate",$Y20,Budget!G20)))</f>
        <v/>
      </c>
      <c r="I20" s="23">
        <f>IF(I$3&lt;=CurMonth,Actuals!H20,IF($E20="Attainment",Budget!H20*$X20,IF($E20="Run-rate",$Y20,Budget!H20)))</f>
        <v/>
      </c>
      <c r="J20" s="23">
        <f>IF(J$3&lt;=CurMonth,Actuals!I20,IF($E20="Attainment",Budget!I20*$X20,IF($E20="Run-rate",$Y20,Budget!I20)))</f>
        <v/>
      </c>
      <c r="K20" s="23">
        <f>IF(K$3&lt;=CurMonth,Actuals!J20,IF($E20="Attainment",Budget!J20*$X20,IF($E20="Run-rate",$Y20,Budget!J20)))</f>
        <v/>
      </c>
      <c r="L20" s="23">
        <f>IF(L$3&lt;=CurMonth,Actuals!K20,IF($E20="Attainment",Budget!K20*$X20,IF($E20="Run-rate",$Y20,Budget!K20)))</f>
        <v/>
      </c>
      <c r="M20" s="23">
        <f>IF(M$3&lt;=CurMonth,Actuals!L20,IF($E20="Attainment",Budget!L20*$X20,IF($E20="Run-rate",$Y20,Budget!L20)))</f>
        <v/>
      </c>
      <c r="N20" s="23">
        <f>IF(N$3&lt;=CurMonth,Actuals!M20,IF($E20="Attainment",Budget!M20*$X20,IF($E20="Run-rate",$Y20,Budget!M20)))</f>
        <v/>
      </c>
      <c r="O20" s="23">
        <f>IF(O$3&lt;=CurMonth,Actuals!N20,IF($E20="Attainment",Budget!N20*$X20,IF($E20="Run-rate",$Y20,Budget!N20)))</f>
        <v/>
      </c>
      <c r="P20" s="23">
        <f>IF(P$3&lt;=CurMonth,Actuals!O20,IF($E20="Attainment",Budget!O20*$X20,IF($E20="Run-rate",$Y20,Budget!O20)))</f>
        <v/>
      </c>
      <c r="Q20" s="23">
        <f>IF(Q$3&lt;=CurMonth,Actuals!P20,IF($E20="Attainment",Budget!P20*$X20,IF($E20="Run-rate",$Y20,Budget!P20)))</f>
        <v/>
      </c>
      <c r="R20" s="23">
        <f>SUM(F20:Q20)</f>
        <v/>
      </c>
      <c r="S20" s="23">
        <f>Budget!Q20</f>
        <v/>
      </c>
      <c r="T20" s="23">
        <f>IF($D20="Revenue",R20-S20,S20-R20)</f>
        <v/>
      </c>
      <c r="U20" s="24">
        <f>IF(S20=0,0,T20/ABS(S20))</f>
        <v/>
      </c>
      <c r="V20" s="23">
        <f>SUMPRODUCT(Actuals!$E20:$P20*(Budget!$E$3:$P$3&lt;=CurMonth))</f>
        <v/>
      </c>
      <c r="W20" s="23">
        <f>SUMPRODUCT(Budget!$E20:$P20*(Budget!$E$3:$P$3&lt;=CurMonth))</f>
        <v/>
      </c>
      <c r="X20" s="26">
        <f>IF(W20=0,1,V20/W20)</f>
        <v/>
      </c>
      <c r="Y20" s="23">
        <f>SUMPRODUCT(Actuals!$E20:$P20*(Budget!$E$3:$P$3&gt;CurMonth-3)*(Budget!$E$3:$P$3&lt;=CurMonth))/3</f>
        <v/>
      </c>
    </row>
    <row r="21">
      <c r="A21">
        <f>Budget!A21</f>
        <v/>
      </c>
      <c r="B21">
        <f>Budget!B21</f>
        <v/>
      </c>
      <c r="C21">
        <f>Budget!C21</f>
        <v/>
      </c>
      <c r="D21">
        <f>Budget!D21</f>
        <v/>
      </c>
      <c r="E21" s="25" t="inlineStr">
        <is>
          <t>Budget</t>
        </is>
      </c>
      <c r="F21" s="23">
        <f>IF(F$3&lt;=CurMonth,Actuals!E21,IF($E21="Attainment",Budget!E21*$X21,IF($E21="Run-rate",$Y21,Budget!E21)))</f>
        <v/>
      </c>
      <c r="G21" s="23">
        <f>IF(G$3&lt;=CurMonth,Actuals!F21,IF($E21="Attainment",Budget!F21*$X21,IF($E21="Run-rate",$Y21,Budget!F21)))</f>
        <v/>
      </c>
      <c r="H21" s="23">
        <f>IF(H$3&lt;=CurMonth,Actuals!G21,IF($E21="Attainment",Budget!G21*$X21,IF($E21="Run-rate",$Y21,Budget!G21)))</f>
        <v/>
      </c>
      <c r="I21" s="23">
        <f>IF(I$3&lt;=CurMonth,Actuals!H21,IF($E21="Attainment",Budget!H21*$X21,IF($E21="Run-rate",$Y21,Budget!H21)))</f>
        <v/>
      </c>
      <c r="J21" s="23">
        <f>IF(J$3&lt;=CurMonth,Actuals!I21,IF($E21="Attainment",Budget!I21*$X21,IF($E21="Run-rate",$Y21,Budget!I21)))</f>
        <v/>
      </c>
      <c r="K21" s="23">
        <f>IF(K$3&lt;=CurMonth,Actuals!J21,IF($E21="Attainment",Budget!J21*$X21,IF($E21="Run-rate",$Y21,Budget!J21)))</f>
        <v/>
      </c>
      <c r="L21" s="23">
        <f>IF(L$3&lt;=CurMonth,Actuals!K21,IF($E21="Attainment",Budget!K21*$X21,IF($E21="Run-rate",$Y21,Budget!K21)))</f>
        <v/>
      </c>
      <c r="M21" s="23">
        <f>IF(M$3&lt;=CurMonth,Actuals!L21,IF($E21="Attainment",Budget!L21*$X21,IF($E21="Run-rate",$Y21,Budget!L21)))</f>
        <v/>
      </c>
      <c r="N21" s="23">
        <f>IF(N$3&lt;=CurMonth,Actuals!M21,IF($E21="Attainment",Budget!M21*$X21,IF($E21="Run-rate",$Y21,Budget!M21)))</f>
        <v/>
      </c>
      <c r="O21" s="23">
        <f>IF(O$3&lt;=CurMonth,Actuals!N21,IF($E21="Attainment",Budget!N21*$X21,IF($E21="Run-rate",$Y21,Budget!N21)))</f>
        <v/>
      </c>
      <c r="P21" s="23">
        <f>IF(P$3&lt;=CurMonth,Actuals!O21,IF($E21="Attainment",Budget!O21*$X21,IF($E21="Run-rate",$Y21,Budget!O21)))</f>
        <v/>
      </c>
      <c r="Q21" s="23">
        <f>IF(Q$3&lt;=CurMonth,Actuals!P21,IF($E21="Attainment",Budget!P21*$X21,IF($E21="Run-rate",$Y21,Budget!P21)))</f>
        <v/>
      </c>
      <c r="R21" s="23">
        <f>SUM(F21:Q21)</f>
        <v/>
      </c>
      <c r="S21" s="23">
        <f>Budget!Q21</f>
        <v/>
      </c>
      <c r="T21" s="23">
        <f>IF($D21="Revenue",R21-S21,S21-R21)</f>
        <v/>
      </c>
      <c r="U21" s="24">
        <f>IF(S21=0,0,T21/ABS(S21))</f>
        <v/>
      </c>
      <c r="V21" s="23">
        <f>SUMPRODUCT(Actuals!$E21:$P21*(Budget!$E$3:$P$3&lt;=CurMonth))</f>
        <v/>
      </c>
      <c r="W21" s="23">
        <f>SUMPRODUCT(Budget!$E21:$P21*(Budget!$E$3:$P$3&lt;=CurMonth))</f>
        <v/>
      </c>
      <c r="X21" s="26">
        <f>IF(W21=0,1,V21/W21)</f>
        <v/>
      </c>
      <c r="Y21" s="23">
        <f>SUMPRODUCT(Actuals!$E21:$P21*(Budget!$E$3:$P$3&gt;CurMonth-3)*(Budget!$E$3:$P$3&lt;=CurMonth))/3</f>
        <v/>
      </c>
    </row>
    <row r="22">
      <c r="A22">
        <f>Budget!A22</f>
        <v/>
      </c>
      <c r="B22">
        <f>Budget!B22</f>
        <v/>
      </c>
      <c r="C22">
        <f>Budget!C22</f>
        <v/>
      </c>
      <c r="D22">
        <f>Budget!D22</f>
        <v/>
      </c>
      <c r="E22" s="25" t="inlineStr">
        <is>
          <t>Run-rate</t>
        </is>
      </c>
      <c r="F22" s="23">
        <f>IF(F$3&lt;=CurMonth,Actuals!E22,IF($E22="Attainment",Budget!E22*$X22,IF($E22="Run-rate",$Y22,Budget!E22)))</f>
        <v/>
      </c>
      <c r="G22" s="23">
        <f>IF(G$3&lt;=CurMonth,Actuals!F22,IF($E22="Attainment",Budget!F22*$X22,IF($E22="Run-rate",$Y22,Budget!F22)))</f>
        <v/>
      </c>
      <c r="H22" s="23">
        <f>IF(H$3&lt;=CurMonth,Actuals!G22,IF($E22="Attainment",Budget!G22*$X22,IF($E22="Run-rate",$Y22,Budget!G22)))</f>
        <v/>
      </c>
      <c r="I22" s="23">
        <f>IF(I$3&lt;=CurMonth,Actuals!H22,IF($E22="Attainment",Budget!H22*$X22,IF($E22="Run-rate",$Y22,Budget!H22)))</f>
        <v/>
      </c>
      <c r="J22" s="23">
        <f>IF(J$3&lt;=CurMonth,Actuals!I22,IF($E22="Attainment",Budget!I22*$X22,IF($E22="Run-rate",$Y22,Budget!I22)))</f>
        <v/>
      </c>
      <c r="K22" s="23">
        <f>IF(K$3&lt;=CurMonth,Actuals!J22,IF($E22="Attainment",Budget!J22*$X22,IF($E22="Run-rate",$Y22,Budget!J22)))</f>
        <v/>
      </c>
      <c r="L22" s="23">
        <f>IF(L$3&lt;=CurMonth,Actuals!K22,IF($E22="Attainment",Budget!K22*$X22,IF($E22="Run-rate",$Y22,Budget!K22)))</f>
        <v/>
      </c>
      <c r="M22" s="23">
        <f>IF(M$3&lt;=CurMonth,Actuals!L22,IF($E22="Attainment",Budget!L22*$X22,IF($E22="Run-rate",$Y22,Budget!L22)))</f>
        <v/>
      </c>
      <c r="N22" s="23">
        <f>IF(N$3&lt;=CurMonth,Actuals!M22,IF($E22="Attainment",Budget!M22*$X22,IF($E22="Run-rate",$Y22,Budget!M22)))</f>
        <v/>
      </c>
      <c r="O22" s="23">
        <f>IF(O$3&lt;=CurMonth,Actuals!N22,IF($E22="Attainment",Budget!N22*$X22,IF($E22="Run-rate",$Y22,Budget!N22)))</f>
        <v/>
      </c>
      <c r="P22" s="23">
        <f>IF(P$3&lt;=CurMonth,Actuals!O22,IF($E22="Attainment",Budget!O22*$X22,IF($E22="Run-rate",$Y22,Budget!O22)))</f>
        <v/>
      </c>
      <c r="Q22" s="23">
        <f>IF(Q$3&lt;=CurMonth,Actuals!P22,IF($E22="Attainment",Budget!P22*$X22,IF($E22="Run-rate",$Y22,Budget!P22)))</f>
        <v/>
      </c>
      <c r="R22" s="23">
        <f>SUM(F22:Q22)</f>
        <v/>
      </c>
      <c r="S22" s="23">
        <f>Budget!Q22</f>
        <v/>
      </c>
      <c r="T22" s="23">
        <f>IF($D22="Revenue",R22-S22,S22-R22)</f>
        <v/>
      </c>
      <c r="U22" s="24">
        <f>IF(S22=0,0,T22/ABS(S22))</f>
        <v/>
      </c>
      <c r="V22" s="23">
        <f>SUMPRODUCT(Actuals!$E22:$P22*(Budget!$E$3:$P$3&lt;=CurMonth))</f>
        <v/>
      </c>
      <c r="W22" s="23">
        <f>SUMPRODUCT(Budget!$E22:$P22*(Budget!$E$3:$P$3&lt;=CurMonth))</f>
        <v/>
      </c>
      <c r="X22" s="26">
        <f>IF(W22=0,1,V22/W22)</f>
        <v/>
      </c>
      <c r="Y22" s="23">
        <f>SUMPRODUCT(Actuals!$E22:$P22*(Budget!$E$3:$P$3&gt;CurMonth-3)*(Budget!$E$3:$P$3&lt;=CurMonth))/3</f>
        <v/>
      </c>
    </row>
    <row r="23">
      <c r="A23">
        <f>Budget!A23</f>
        <v/>
      </c>
      <c r="B23">
        <f>Budget!B23</f>
        <v/>
      </c>
      <c r="C23">
        <f>Budget!C23</f>
        <v/>
      </c>
      <c r="D23">
        <f>Budget!D23</f>
        <v/>
      </c>
      <c r="E23" s="25" t="inlineStr">
        <is>
          <t>Run-rate</t>
        </is>
      </c>
      <c r="F23" s="23">
        <f>IF(F$3&lt;=CurMonth,Actuals!E23,IF($E23="Attainment",Budget!E23*$X23,IF($E23="Run-rate",$Y23,Budget!E23)))</f>
        <v/>
      </c>
      <c r="G23" s="23">
        <f>IF(G$3&lt;=CurMonth,Actuals!F23,IF($E23="Attainment",Budget!F23*$X23,IF($E23="Run-rate",$Y23,Budget!F23)))</f>
        <v/>
      </c>
      <c r="H23" s="23">
        <f>IF(H$3&lt;=CurMonth,Actuals!G23,IF($E23="Attainment",Budget!G23*$X23,IF($E23="Run-rate",$Y23,Budget!G23)))</f>
        <v/>
      </c>
      <c r="I23" s="23">
        <f>IF(I$3&lt;=CurMonth,Actuals!H23,IF($E23="Attainment",Budget!H23*$X23,IF($E23="Run-rate",$Y23,Budget!H23)))</f>
        <v/>
      </c>
      <c r="J23" s="23">
        <f>IF(J$3&lt;=CurMonth,Actuals!I23,IF($E23="Attainment",Budget!I23*$X23,IF($E23="Run-rate",$Y23,Budget!I23)))</f>
        <v/>
      </c>
      <c r="K23" s="23">
        <f>IF(K$3&lt;=CurMonth,Actuals!J23,IF($E23="Attainment",Budget!J23*$X23,IF($E23="Run-rate",$Y23,Budget!J23)))</f>
        <v/>
      </c>
      <c r="L23" s="23">
        <f>IF(L$3&lt;=CurMonth,Actuals!K23,IF($E23="Attainment",Budget!K23*$X23,IF($E23="Run-rate",$Y23,Budget!K23)))</f>
        <v/>
      </c>
      <c r="M23" s="23">
        <f>IF(M$3&lt;=CurMonth,Actuals!L23,IF($E23="Attainment",Budget!L23*$X23,IF($E23="Run-rate",$Y23,Budget!L23)))</f>
        <v/>
      </c>
      <c r="N23" s="23">
        <f>IF(N$3&lt;=CurMonth,Actuals!M23,IF($E23="Attainment",Budget!M23*$X23,IF($E23="Run-rate",$Y23,Budget!M23)))</f>
        <v/>
      </c>
      <c r="O23" s="23">
        <f>IF(O$3&lt;=CurMonth,Actuals!N23,IF($E23="Attainment",Budget!N23*$X23,IF($E23="Run-rate",$Y23,Budget!N23)))</f>
        <v/>
      </c>
      <c r="P23" s="23">
        <f>IF(P$3&lt;=CurMonth,Actuals!O23,IF($E23="Attainment",Budget!O23*$X23,IF($E23="Run-rate",$Y23,Budget!O23)))</f>
        <v/>
      </c>
      <c r="Q23" s="23">
        <f>IF(Q$3&lt;=CurMonth,Actuals!P23,IF($E23="Attainment",Budget!P23*$X23,IF($E23="Run-rate",$Y23,Budget!P23)))</f>
        <v/>
      </c>
      <c r="R23" s="23">
        <f>SUM(F23:Q23)</f>
        <v/>
      </c>
      <c r="S23" s="23">
        <f>Budget!Q23</f>
        <v/>
      </c>
      <c r="T23" s="23">
        <f>IF($D23="Revenue",R23-S23,S23-R23)</f>
        <v/>
      </c>
      <c r="U23" s="24">
        <f>IF(S23=0,0,T23/ABS(S23))</f>
        <v/>
      </c>
      <c r="V23" s="23">
        <f>SUMPRODUCT(Actuals!$E23:$P23*(Budget!$E$3:$P$3&lt;=CurMonth))</f>
        <v/>
      </c>
      <c r="W23" s="23">
        <f>SUMPRODUCT(Budget!$E23:$P23*(Budget!$E$3:$P$3&lt;=CurMonth))</f>
        <v/>
      </c>
      <c r="X23" s="26">
        <f>IF(W23=0,1,V23/W23)</f>
        <v/>
      </c>
      <c r="Y23" s="23">
        <f>SUMPRODUCT(Actuals!$E23:$P23*(Budget!$E$3:$P$3&gt;CurMonth-3)*(Budget!$E$3:$P$3&lt;=CurMonth))/3</f>
        <v/>
      </c>
    </row>
    <row r="24">
      <c r="A24">
        <f>Budget!A24</f>
        <v/>
      </c>
      <c r="B24">
        <f>Budget!B24</f>
        <v/>
      </c>
      <c r="C24">
        <f>Budget!C24</f>
        <v/>
      </c>
      <c r="D24">
        <f>Budget!D24</f>
        <v/>
      </c>
      <c r="E24" s="25" t="inlineStr">
        <is>
          <t>Run-rate</t>
        </is>
      </c>
      <c r="F24" s="23">
        <f>IF(F$3&lt;=CurMonth,Actuals!E24,IF($E24="Attainment",Budget!E24*$X24,IF($E24="Run-rate",$Y24,Budget!E24)))</f>
        <v/>
      </c>
      <c r="G24" s="23">
        <f>IF(G$3&lt;=CurMonth,Actuals!F24,IF($E24="Attainment",Budget!F24*$X24,IF($E24="Run-rate",$Y24,Budget!F24)))</f>
        <v/>
      </c>
      <c r="H24" s="23">
        <f>IF(H$3&lt;=CurMonth,Actuals!G24,IF($E24="Attainment",Budget!G24*$X24,IF($E24="Run-rate",$Y24,Budget!G24)))</f>
        <v/>
      </c>
      <c r="I24" s="23">
        <f>IF(I$3&lt;=CurMonth,Actuals!H24,IF($E24="Attainment",Budget!H24*$X24,IF($E24="Run-rate",$Y24,Budget!H24)))</f>
        <v/>
      </c>
      <c r="J24" s="23">
        <f>IF(J$3&lt;=CurMonth,Actuals!I24,IF($E24="Attainment",Budget!I24*$X24,IF($E24="Run-rate",$Y24,Budget!I24)))</f>
        <v/>
      </c>
      <c r="K24" s="23">
        <f>IF(K$3&lt;=CurMonth,Actuals!J24,IF($E24="Attainment",Budget!J24*$X24,IF($E24="Run-rate",$Y24,Budget!J24)))</f>
        <v/>
      </c>
      <c r="L24" s="23">
        <f>IF(L$3&lt;=CurMonth,Actuals!K24,IF($E24="Attainment",Budget!K24*$X24,IF($E24="Run-rate",$Y24,Budget!K24)))</f>
        <v/>
      </c>
      <c r="M24" s="23">
        <f>IF(M$3&lt;=CurMonth,Actuals!L24,IF($E24="Attainment",Budget!L24*$X24,IF($E24="Run-rate",$Y24,Budget!L24)))</f>
        <v/>
      </c>
      <c r="N24" s="23">
        <f>IF(N$3&lt;=CurMonth,Actuals!M24,IF($E24="Attainment",Budget!M24*$X24,IF($E24="Run-rate",$Y24,Budget!M24)))</f>
        <v/>
      </c>
      <c r="O24" s="23">
        <f>IF(O$3&lt;=CurMonth,Actuals!N24,IF($E24="Attainment",Budget!N24*$X24,IF($E24="Run-rate",$Y24,Budget!N24)))</f>
        <v/>
      </c>
      <c r="P24" s="23">
        <f>IF(P$3&lt;=CurMonth,Actuals!O24,IF($E24="Attainment",Budget!O24*$X24,IF($E24="Run-rate",$Y24,Budget!O24)))</f>
        <v/>
      </c>
      <c r="Q24" s="23">
        <f>IF(Q$3&lt;=CurMonth,Actuals!P24,IF($E24="Attainment",Budget!P24*$X24,IF($E24="Run-rate",$Y24,Budget!P24)))</f>
        <v/>
      </c>
      <c r="R24" s="23">
        <f>SUM(F24:Q24)</f>
        <v/>
      </c>
      <c r="S24" s="23">
        <f>Budget!Q24</f>
        <v/>
      </c>
      <c r="T24" s="23">
        <f>IF($D24="Revenue",R24-S24,S24-R24)</f>
        <v/>
      </c>
      <c r="U24" s="24">
        <f>IF(S24=0,0,T24/ABS(S24))</f>
        <v/>
      </c>
      <c r="V24" s="23">
        <f>SUMPRODUCT(Actuals!$E24:$P24*(Budget!$E$3:$P$3&lt;=CurMonth))</f>
        <v/>
      </c>
      <c r="W24" s="23">
        <f>SUMPRODUCT(Budget!$E24:$P24*(Budget!$E$3:$P$3&lt;=CurMonth))</f>
        <v/>
      </c>
      <c r="X24" s="26">
        <f>IF(W24=0,1,V24/W24)</f>
        <v/>
      </c>
      <c r="Y24" s="23">
        <f>SUMPRODUCT(Actuals!$E24:$P24*(Budget!$E$3:$P$3&gt;CurMonth-3)*(Budget!$E$3:$P$3&lt;=CurMonth))/3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hidden="1" width="5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P&amp;L Summary ($000s)</t>
        </is>
      </c>
    </row>
    <row r="2">
      <c r="A2" s="2">
        <f>"YTD through "&amp;Inputs!B8&amp;" and full-year forecast vs. budget"</f>
        <v/>
      </c>
    </row>
    <row r="3">
      <c r="A3" s="8" t="inlineStr">
        <is>
          <t>Line</t>
        </is>
      </c>
      <c r="B3" s="8" t="inlineStr">
        <is>
          <t>Sign</t>
        </is>
      </c>
      <c r="C3" s="8" t="inlineStr">
        <is>
          <t>YTD Budget</t>
        </is>
      </c>
      <c r="D3" s="8" t="inlineStr">
        <is>
          <t>YTD Actual</t>
        </is>
      </c>
      <c r="E3" s="8" t="inlineStr">
        <is>
          <t>YTD Var Fav/(Unfav)</t>
        </is>
      </c>
      <c r="F3" s="8" t="inlineStr">
        <is>
          <t>YTD Var %</t>
        </is>
      </c>
      <c r="G3" s="8" t="inlineStr">
        <is>
          <t>FY Budget</t>
        </is>
      </c>
      <c r="H3" s="8" t="inlineStr">
        <is>
          <t>FY Forecast</t>
        </is>
      </c>
      <c r="I3" s="8" t="inlineStr">
        <is>
          <t>FY Var Fav/(Unfav)</t>
        </is>
      </c>
      <c r="J3" s="8" t="inlineStr">
        <is>
          <t>FY Var %</t>
        </is>
      </c>
    </row>
    <row r="4">
      <c r="A4" t="inlineStr">
        <is>
          <t>Revenue</t>
        </is>
      </c>
      <c r="B4" t="n">
        <v>1</v>
      </c>
      <c r="C4" s="23">
        <f>SUMIFS(BvA!$I$4:$I$24,BvA!$D$4:$D$24,"Revenue")</f>
        <v/>
      </c>
      <c r="D4" s="23">
        <f>SUMIFS(BvA!$J$4:$J$24,BvA!$D$4:$D$24,"Revenue")</f>
        <v/>
      </c>
      <c r="E4" s="23">
        <f>B4*(D4-C4)</f>
        <v/>
      </c>
      <c r="F4" s="24">
        <f>IF(C4=0,0,E4/ABS(C4))</f>
        <v/>
      </c>
      <c r="G4" s="23">
        <f>SUMIFS(Forecast!$S$4:$S$24,BvA!$D$4:$D$24,"Revenue")</f>
        <v/>
      </c>
      <c r="H4" s="23">
        <f>SUMIFS(Forecast!$R$4:$R$24,BvA!$D$4:$D$24,"Revenue")</f>
        <v/>
      </c>
      <c r="I4" s="23">
        <f>B4*(H4-G4)</f>
        <v/>
      </c>
      <c r="J4" s="24">
        <f>IF(G4=0,0,I4/ABS(G4))</f>
        <v/>
      </c>
    </row>
    <row r="5">
      <c r="A5" t="inlineStr">
        <is>
          <t>COGS</t>
        </is>
      </c>
      <c r="B5" t="n">
        <v>-1</v>
      </c>
      <c r="C5" s="23">
        <f>SUMIFS(BvA!$I$4:$I$24,BvA!$D$4:$D$24,"COGS")</f>
        <v/>
      </c>
      <c r="D5" s="23">
        <f>SUMIFS(BvA!$J$4:$J$24,BvA!$D$4:$D$24,"COGS")</f>
        <v/>
      </c>
      <c r="E5" s="23">
        <f>B5*(D5-C5)</f>
        <v/>
      </c>
      <c r="F5" s="24">
        <f>IF(C5=0,0,E5/ABS(C5))</f>
        <v/>
      </c>
      <c r="G5" s="23">
        <f>SUMIFS(Forecast!$S$4:$S$24,BvA!$D$4:$D$24,"COGS")</f>
        <v/>
      </c>
      <c r="H5" s="23">
        <f>SUMIFS(Forecast!$R$4:$R$24,BvA!$D$4:$D$24,"COGS")</f>
        <v/>
      </c>
      <c r="I5" s="23">
        <f>B5*(H5-G5)</f>
        <v/>
      </c>
      <c r="J5" s="24">
        <f>IF(G5=0,0,I5/ABS(G5))</f>
        <v/>
      </c>
    </row>
    <row r="6">
      <c r="A6" s="27" t="inlineStr">
        <is>
          <t>Gross Profit</t>
        </is>
      </c>
      <c r="B6" s="27" t="n">
        <v>1</v>
      </c>
      <c r="C6" s="28">
        <f>C4-C5</f>
        <v/>
      </c>
      <c r="D6" s="28">
        <f>D4-D5</f>
        <v/>
      </c>
      <c r="E6" s="28">
        <f>B6*(D6-C6)</f>
        <v/>
      </c>
      <c r="F6" s="29">
        <f>IF(C6=0,0,E6/ABS(C6))</f>
        <v/>
      </c>
      <c r="G6" s="28">
        <f>G4-G5</f>
        <v/>
      </c>
      <c r="H6" s="28">
        <f>H4-H5</f>
        <v/>
      </c>
      <c r="I6" s="28">
        <f>B6*(H6-G6)</f>
        <v/>
      </c>
      <c r="J6" s="29">
        <f>IF(G6=0,0,I6/ABS(G6))</f>
        <v/>
      </c>
    </row>
    <row r="7">
      <c r="A7" t="inlineStr">
        <is>
          <t>Gross Margin %</t>
        </is>
      </c>
      <c r="B7" t="n">
        <v>0</v>
      </c>
      <c r="C7" s="24">
        <f>IF(C4=0,0,C6/C4)</f>
        <v/>
      </c>
      <c r="D7" s="24">
        <f>IF(D4=0,0,D6/D4)</f>
        <v/>
      </c>
      <c r="E7" s="24">
        <f>D7-C7</f>
        <v/>
      </c>
      <c r="G7" s="24">
        <f>IF(G4=0,0,G6/G4)</f>
        <v/>
      </c>
      <c r="H7" s="24">
        <f>IF(H4=0,0,H6/H4)</f>
        <v/>
      </c>
      <c r="I7" s="24">
        <f>H7-G7</f>
        <v/>
      </c>
    </row>
    <row r="8">
      <c r="A8" t="inlineStr">
        <is>
          <t>Opex - Sales</t>
        </is>
      </c>
      <c r="B8" t="n">
        <v>-1</v>
      </c>
      <c r="C8" s="23">
        <f>SUMIFS(BvA!$I$4:$I$24,BvA!$D$4:$D$24,"Opex",BvA!$C$4:$C$24,"Sales")</f>
        <v/>
      </c>
      <c r="D8" s="23">
        <f>SUMIFS(BvA!$J$4:$J$24,BvA!$D$4:$D$24,"Opex",BvA!$C$4:$C$24,"Sales")</f>
        <v/>
      </c>
      <c r="E8" s="23">
        <f>B8*(D8-C8)</f>
        <v/>
      </c>
      <c r="F8" s="24">
        <f>IF(C8=0,0,E8/ABS(C8))</f>
        <v/>
      </c>
      <c r="G8" s="23">
        <f>SUMIFS(Forecast!$S$4:$S$24,BvA!$D$4:$D$24,"Opex",BvA!$C$4:$C$24,"Sales")</f>
        <v/>
      </c>
      <c r="H8" s="23">
        <f>SUMIFS(Forecast!$R$4:$R$24,BvA!$D$4:$D$24,"Opex",BvA!$C$4:$C$24,"Sales")</f>
        <v/>
      </c>
      <c r="I8" s="23">
        <f>B8*(H8-G8)</f>
        <v/>
      </c>
      <c r="J8" s="24">
        <f>IF(G8=0,0,I8/ABS(G8))</f>
        <v/>
      </c>
    </row>
    <row r="9">
      <c r="A9" t="inlineStr">
        <is>
          <t>Opex - Marketing</t>
        </is>
      </c>
      <c r="B9" t="n">
        <v>-1</v>
      </c>
      <c r="C9" s="23">
        <f>SUMIFS(BvA!$I$4:$I$24,BvA!$D$4:$D$24,"Opex",BvA!$C$4:$C$24,"Marketing")</f>
        <v/>
      </c>
      <c r="D9" s="23">
        <f>SUMIFS(BvA!$J$4:$J$24,BvA!$D$4:$D$24,"Opex",BvA!$C$4:$C$24,"Marketing")</f>
        <v/>
      </c>
      <c r="E9" s="23">
        <f>B9*(D9-C9)</f>
        <v/>
      </c>
      <c r="F9" s="24">
        <f>IF(C9=0,0,E9/ABS(C9))</f>
        <v/>
      </c>
      <c r="G9" s="23">
        <f>SUMIFS(Forecast!$S$4:$S$24,BvA!$D$4:$D$24,"Opex",BvA!$C$4:$C$24,"Marketing")</f>
        <v/>
      </c>
      <c r="H9" s="23">
        <f>SUMIFS(Forecast!$R$4:$R$24,BvA!$D$4:$D$24,"Opex",BvA!$C$4:$C$24,"Marketing")</f>
        <v/>
      </c>
      <c r="I9" s="23">
        <f>B9*(H9-G9)</f>
        <v/>
      </c>
      <c r="J9" s="24">
        <f>IF(G9=0,0,I9/ABS(G9))</f>
        <v/>
      </c>
    </row>
    <row r="10">
      <c r="A10" t="inlineStr">
        <is>
          <t>Opex - Operations</t>
        </is>
      </c>
      <c r="B10" t="n">
        <v>-1</v>
      </c>
      <c r="C10" s="23">
        <f>SUMIFS(BvA!$I$4:$I$24,BvA!$D$4:$D$24,"Opex",BvA!$C$4:$C$24,"Operations")</f>
        <v/>
      </c>
      <c r="D10" s="23">
        <f>SUMIFS(BvA!$J$4:$J$24,BvA!$D$4:$D$24,"Opex",BvA!$C$4:$C$24,"Operations")</f>
        <v/>
      </c>
      <c r="E10" s="23">
        <f>B10*(D10-C10)</f>
        <v/>
      </c>
      <c r="F10" s="24">
        <f>IF(C10=0,0,E10/ABS(C10))</f>
        <v/>
      </c>
      <c r="G10" s="23">
        <f>SUMIFS(Forecast!$S$4:$S$24,BvA!$D$4:$D$24,"Opex",BvA!$C$4:$C$24,"Operations")</f>
        <v/>
      </c>
      <c r="H10" s="23">
        <f>SUMIFS(Forecast!$R$4:$R$24,BvA!$D$4:$D$24,"Opex",BvA!$C$4:$C$24,"Operations")</f>
        <v/>
      </c>
      <c r="I10" s="23">
        <f>B10*(H10-G10)</f>
        <v/>
      </c>
      <c r="J10" s="24">
        <f>IF(G10=0,0,I10/ABS(G10))</f>
        <v/>
      </c>
    </row>
    <row r="11">
      <c r="A11" t="inlineStr">
        <is>
          <t>Opex - G&amp;A</t>
        </is>
      </c>
      <c r="B11" t="n">
        <v>-1</v>
      </c>
      <c r="C11" s="23">
        <f>SUMIFS(BvA!$I$4:$I$24,BvA!$D$4:$D$24,"Opex",BvA!$C$4:$C$24,"G&amp;A")</f>
        <v/>
      </c>
      <c r="D11" s="23">
        <f>SUMIFS(BvA!$J$4:$J$24,BvA!$D$4:$D$24,"Opex",BvA!$C$4:$C$24,"G&amp;A")</f>
        <v/>
      </c>
      <c r="E11" s="23">
        <f>B11*(D11-C11)</f>
        <v/>
      </c>
      <c r="F11" s="24">
        <f>IF(C11=0,0,E11/ABS(C11))</f>
        <v/>
      </c>
      <c r="G11" s="23">
        <f>SUMIFS(Forecast!$S$4:$S$24,BvA!$D$4:$D$24,"Opex",BvA!$C$4:$C$24,"G&amp;A")</f>
        <v/>
      </c>
      <c r="H11" s="23">
        <f>SUMIFS(Forecast!$R$4:$R$24,BvA!$D$4:$D$24,"Opex",BvA!$C$4:$C$24,"G&amp;A")</f>
        <v/>
      </c>
      <c r="I11" s="23">
        <f>B11*(H11-G11)</f>
        <v/>
      </c>
      <c r="J11" s="24">
        <f>IF(G11=0,0,I11/ABS(G11))</f>
        <v/>
      </c>
    </row>
    <row r="12">
      <c r="A12" t="inlineStr">
        <is>
          <t>Opex - IT</t>
        </is>
      </c>
      <c r="B12" t="n">
        <v>-1</v>
      </c>
      <c r="C12" s="23">
        <f>SUMIFS(BvA!$I$4:$I$24,BvA!$D$4:$D$24,"Opex",BvA!$C$4:$C$24,"IT")</f>
        <v/>
      </c>
      <c r="D12" s="23">
        <f>SUMIFS(BvA!$J$4:$J$24,BvA!$D$4:$D$24,"Opex",BvA!$C$4:$C$24,"IT")</f>
        <v/>
      </c>
      <c r="E12" s="23">
        <f>B12*(D12-C12)</f>
        <v/>
      </c>
      <c r="F12" s="24">
        <f>IF(C12=0,0,E12/ABS(C12))</f>
        <v/>
      </c>
      <c r="G12" s="23">
        <f>SUMIFS(Forecast!$S$4:$S$24,BvA!$D$4:$D$24,"Opex",BvA!$C$4:$C$24,"IT")</f>
        <v/>
      </c>
      <c r="H12" s="23">
        <f>SUMIFS(Forecast!$R$4:$R$24,BvA!$D$4:$D$24,"Opex",BvA!$C$4:$C$24,"IT")</f>
        <v/>
      </c>
      <c r="I12" s="23">
        <f>B12*(H12-G12)</f>
        <v/>
      </c>
      <c r="J12" s="24">
        <f>IF(G12=0,0,I12/ABS(G12))</f>
        <v/>
      </c>
    </row>
    <row r="13">
      <c r="A13" s="27" t="inlineStr">
        <is>
          <t>Total Opex</t>
        </is>
      </c>
      <c r="B13" s="27" t="n">
        <v>-1</v>
      </c>
      <c r="C13" s="28">
        <f>SUM(C8:C12)</f>
        <v/>
      </c>
      <c r="D13" s="28">
        <f>SUM(D8:D12)</f>
        <v/>
      </c>
      <c r="E13" s="28">
        <f>B13*(D13-C13)</f>
        <v/>
      </c>
      <c r="F13" s="29">
        <f>IF(C13=0,0,E13/ABS(C13))</f>
        <v/>
      </c>
      <c r="G13" s="28">
        <f>SUM(G8:G12)</f>
        <v/>
      </c>
      <c r="H13" s="28">
        <f>SUM(H8:H12)</f>
        <v/>
      </c>
      <c r="I13" s="28">
        <f>B13*(H13-G13)</f>
        <v/>
      </c>
      <c r="J13" s="29">
        <f>IF(G13=0,0,I13/ABS(G13))</f>
        <v/>
      </c>
    </row>
    <row r="14">
      <c r="A14" s="27" t="inlineStr">
        <is>
          <t>EBITDA</t>
        </is>
      </c>
      <c r="B14" s="27" t="n">
        <v>1</v>
      </c>
      <c r="C14" s="28">
        <f>C6-C13</f>
        <v/>
      </c>
      <c r="D14" s="28">
        <f>D6-D13</f>
        <v/>
      </c>
      <c r="E14" s="28">
        <f>B14*(D14-C14)</f>
        <v/>
      </c>
      <c r="F14" s="29">
        <f>IF(C14=0,0,E14/ABS(C14))</f>
        <v/>
      </c>
      <c r="G14" s="28">
        <f>G6-G13</f>
        <v/>
      </c>
      <c r="H14" s="28">
        <f>H6-H13</f>
        <v/>
      </c>
      <c r="I14" s="28">
        <f>B14*(H14-G14)</f>
        <v/>
      </c>
      <c r="J14" s="29">
        <f>IF(G14=0,0,I14/ABS(G14))</f>
        <v/>
      </c>
    </row>
    <row r="15">
      <c r="A15" t="inlineStr">
        <is>
          <t>EBITDA Margin %</t>
        </is>
      </c>
      <c r="B15" t="n">
        <v>0</v>
      </c>
      <c r="C15" s="24">
        <f>IF(C4=0,0,C14/C4)</f>
        <v/>
      </c>
      <c r="D15" s="24">
        <f>IF(D4=0,0,D14/D4)</f>
        <v/>
      </c>
      <c r="E15" s="24">
        <f>D15-C15</f>
        <v/>
      </c>
      <c r="G15" s="24">
        <f>IF(G4=0,0,G14/G4)</f>
        <v/>
      </c>
      <c r="H15" s="24">
        <f>IF(H4=0,0,H14/H4)</f>
        <v/>
      </c>
      <c r="I15" s="24">
        <f>H15-G15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Management Report - Northwind Supply Co.</t>
        </is>
      </c>
    </row>
    <row r="2">
      <c r="A2" s="2">
        <f>"FY2026 performance through "&amp;Inputs!B8&amp;" close"</f>
        <v/>
      </c>
    </row>
    <row r="4">
      <c r="A4" s="8" t="inlineStr">
        <is>
          <t>Key metric</t>
        </is>
      </c>
      <c r="B4" s="8" t="inlineStr">
        <is>
          <t>Budget</t>
        </is>
      </c>
      <c r="C4" s="8" t="inlineStr">
        <is>
          <t>Actual / Forecast</t>
        </is>
      </c>
      <c r="D4" s="8" t="inlineStr">
        <is>
          <t>Var Fav/(Unfav)</t>
        </is>
      </c>
      <c r="E4" s="8" t="inlineStr">
        <is>
          <t>Var %</t>
        </is>
      </c>
    </row>
    <row r="5">
      <c r="A5" t="inlineStr">
        <is>
          <t>YTD Revenue</t>
        </is>
      </c>
      <c r="B5" s="23">
        <f>'P&amp;L Summary'!C4</f>
        <v/>
      </c>
      <c r="C5" s="23">
        <f>'P&amp;L Summary'!D4</f>
        <v/>
      </c>
      <c r="D5" s="23">
        <f>'P&amp;L Summary'!E4</f>
        <v/>
      </c>
      <c r="E5" s="24">
        <f>'P&amp;L Summary'!F4</f>
        <v/>
      </c>
    </row>
    <row r="6">
      <c r="A6" t="inlineStr">
        <is>
          <t>YTD Gross Margin %</t>
        </is>
      </c>
      <c r="B6" s="24">
        <f>'P&amp;L Summary'!C7</f>
        <v/>
      </c>
      <c r="C6" s="24">
        <f>'P&amp;L Summary'!D7</f>
        <v/>
      </c>
      <c r="D6" s="24">
        <f>'P&amp;L Summary'!E7</f>
        <v/>
      </c>
    </row>
    <row r="7">
      <c r="A7" t="inlineStr">
        <is>
          <t>YTD EBITDA</t>
        </is>
      </c>
      <c r="B7" s="23">
        <f>'P&amp;L Summary'!C14</f>
        <v/>
      </c>
      <c r="C7" s="23">
        <f>'P&amp;L Summary'!D14</f>
        <v/>
      </c>
      <c r="D7" s="23">
        <f>'P&amp;L Summary'!E14</f>
        <v/>
      </c>
      <c r="E7" s="24">
        <f>'P&amp;L Summary'!F14</f>
        <v/>
      </c>
    </row>
    <row r="8">
      <c r="A8" t="inlineStr">
        <is>
          <t>FY Revenue (forecast)</t>
        </is>
      </c>
      <c r="B8" s="23">
        <f>'P&amp;L Summary'!G4</f>
        <v/>
      </c>
      <c r="C8" s="23">
        <f>'P&amp;L Summary'!H4</f>
        <v/>
      </c>
      <c r="D8" s="23">
        <f>'P&amp;L Summary'!I4</f>
        <v/>
      </c>
      <c r="E8" s="24">
        <f>'P&amp;L Summary'!J4</f>
        <v/>
      </c>
    </row>
    <row r="9">
      <c r="A9" t="inlineStr">
        <is>
          <t>FY EBITDA (forecast)</t>
        </is>
      </c>
      <c r="B9" s="23">
        <f>'P&amp;L Summary'!G14</f>
        <v/>
      </c>
      <c r="C9" s="23">
        <f>'P&amp;L Summary'!H14</f>
        <v/>
      </c>
      <c r="D9" s="23">
        <f>'P&amp;L Summary'!I14</f>
        <v/>
      </c>
      <c r="E9" s="24">
        <f>'P&amp;L Summary'!J14</f>
        <v/>
      </c>
    </row>
    <row r="10">
      <c r="A10" t="inlineStr">
        <is>
          <t>FY EBITDA Margin % (forecast)</t>
        </is>
      </c>
      <c r="B10" s="24">
        <f>'P&amp;L Summary'!G15</f>
        <v/>
      </c>
      <c r="C10" s="24">
        <f>'P&amp;L Summary'!H15</f>
        <v/>
      </c>
      <c r="D10" s="24">
        <f>'P&amp;L Summary'!I15</f>
        <v/>
      </c>
    </row>
    <row r="12">
      <c r="A12" s="3" t="inlineStr">
        <is>
          <t>Flagged YTD variances (from BvA)</t>
        </is>
      </c>
      <c r="B12">
        <f>COUNTIF(BvA!M:M,"Unfavorable")&amp;" unfavorable, "&amp;COUNTIF(BvA!M:M,"Favorable")&amp;" favorable"</f>
        <v/>
      </c>
    </row>
    <row r="14">
      <c r="A14" s="1" t="inlineStr">
        <is>
          <t>Commentary (September close)</t>
        </is>
      </c>
    </row>
    <row r="15" ht="44" customHeight="1">
      <c r="A15" s="4" t="inlineStr">
        <is>
          <t>1. YTD EBITDA is $1,102k vs. $1,482k budget ($380k / 26% unfavorable). Full-year EBITDA is forecast at $1,715k vs. $2,150k budget.</t>
        </is>
      </c>
    </row>
    <row r="16" ht="44" customHeight="1">
      <c r="A16" s="4" t="inlineStr">
        <is>
          <t>2. Safety Equipment revenue is $695k (7%) below budget YTD after a distributor contract was lost in June. Its cost of goods shows $377k favorable, but only because volume fell; the net gross profit impact is about -$318k. Action: replacement distributor pipeline and pricing review.</t>
        </is>
      </c>
    </row>
    <row r="17" ht="44" customHeight="1">
      <c r="A17" s="4" t="inlineStr">
        <is>
          <t>3. Industrial Supplies revenue is ahead of budget after the April price increase and is forecast $623k favorable for the year, partly offsetting Safety Equipment.</t>
        </is>
      </c>
    </row>
    <row r="18" ht="44" customHeight="1">
      <c r="A18" s="4" t="inlineStr">
        <is>
          <t>4. Freight &amp; Logistics is $139k (14%) unfavorable YTD following a carrier rate increase in March, rising faster than shipment volume. Action: re-bid carrier contracts before Q1.</t>
        </is>
      </c>
    </row>
    <row r="19" ht="44" customHeight="1">
      <c r="A19" s="4" t="inlineStr">
        <is>
          <t>5. Trade Shows &amp; Events is $185k over budget from an unbudgeted May trade show; Professional Fees are $118k over from one-off August legal and audit work. Both are treated as non-recurring in the forecast.</t>
        </is>
      </c>
    </row>
    <row r="20" ht="44" customHeight="1">
      <c r="A20" s="4" t="inlineStr">
        <is>
          <t>6. Operations and IT salaries are $189k favorable from hiring lags through July. Positions are now filled, so this favorability should not be counted on for Q4.</t>
        </is>
      </c>
    </row>
  </sheetData>
  <mergeCells count="6">
    <mergeCell ref="A20:E20"/>
    <mergeCell ref="A16:E16"/>
    <mergeCell ref="A15:E15"/>
    <mergeCell ref="A19:E19"/>
    <mergeCell ref="A17:E17"/>
    <mergeCell ref="A18:E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</cols>
  <sheetData>
    <row r="1">
      <c r="A1" s="1" t="inlineStr">
        <is>
          <t>Integrity checks</t>
        </is>
      </c>
    </row>
    <row r="2">
      <c r="A2" s="2" t="inlineStr">
        <is>
          <t>Every check must be TRUE before the report is distributed.</t>
        </is>
      </c>
    </row>
    <row r="3">
      <c r="A3" s="8" t="inlineStr">
        <is>
          <t>Check</t>
        </is>
      </c>
      <c r="B3" s="8" t="inlineStr">
        <is>
          <t>Result</t>
        </is>
      </c>
    </row>
    <row r="4">
      <c r="A4" t="inlineStr">
        <is>
          <t>Closed months in the forecast equal actuals</t>
        </is>
      </c>
      <c r="B4">
        <f>ABS(SUMPRODUCT((Forecast!F3:Q3&lt;=CurMonth)*(Forecast!F4:Q24-Actuals!E4:P24)))&lt;0.001</f>
        <v/>
      </c>
    </row>
    <row r="5">
      <c r="A5" t="inlineStr">
        <is>
          <t>No missing actuals in closed months</t>
        </is>
      </c>
      <c r="B5">
        <f>SUMPRODUCT((Actuals!E3:P3&lt;=CurMonth)*(Actuals!E4:P24=""))=0</f>
        <v/>
      </c>
    </row>
    <row r="6">
      <c r="A6" t="inlineStr">
        <is>
          <t>No actuals entered for open months</t>
        </is>
      </c>
      <c r="B6">
        <f>SUMPRODUCT((Actuals!E3:P3&gt;CurMonth)*(Actuals!E4:P24&lt;&gt;""))=0</f>
        <v/>
      </c>
    </row>
    <row r="7">
      <c r="A7" t="inlineStr">
        <is>
          <t>P&amp;L FY budget revenue ties to Budget sheet</t>
        </is>
      </c>
      <c r="B7">
        <f>ABS('P&amp;L Summary'!G4-SUMIFS(Budget!Q4:Q24,Budget!D4:D24,"Revenue"))&lt;0.001</f>
        <v/>
      </c>
    </row>
    <row r="8">
      <c r="A8" t="inlineStr">
        <is>
          <t>P&amp;L YTD actual EBITDA ties to line-level BvA</t>
        </is>
      </c>
      <c r="B8">
        <f>ABS('P&amp;L Summary'!D14-(SUMIFS(BvA!J4:J24,BvA!D4:D24,"Revenue")-SUMIFS(BvA!J4:J24,BvA!D4:D24,"&lt;&gt;Revenue")))&lt;0.001</f>
        <v/>
      </c>
    </row>
    <row r="9">
      <c r="A9" t="inlineStr">
        <is>
          <t>FY forecast = YTD actual + open-month forecast (all lines)</t>
        </is>
      </c>
      <c r="B9">
        <f>ABS(SUM(Forecast!R4:R24)-SUM(Forecast!V4:V24)-SUMPRODUCT((Forecast!F3:Q3&gt;CurMonth)*Forecast!F4:Q24))&lt;0.001</f>
        <v/>
      </c>
    </row>
    <row r="10">
      <c r="A10" t="inlineStr">
        <is>
          <t>Opex by department sums to total opex lines</t>
        </is>
      </c>
      <c r="B10">
        <f>ABS('P&amp;L Summary'!D13-SUMIFS(BvA!J4:J24,BvA!D4:D24,"Opex"))&lt;0.001</f>
        <v/>
      </c>
    </row>
    <row r="12">
      <c r="A12" s="3" t="inlineStr">
        <is>
          <t>ALL CHECKS PASS</t>
        </is>
      </c>
      <c r="B12" s="3">
        <f>AND(B4:B10)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2026-10-26T18:53:14Z</dcterms:created>
  <dcterms:modified xsi:type="dcterms:W3CDTF">2026-10-26T18:53:14Z</dcterms:modified>
</cp:coreProperties>
</file>